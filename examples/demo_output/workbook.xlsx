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Warehouse Portfolio" sheetId="2" state="visible" r:id="rId2"/>
    <sheet name="Scenario Plans" sheetId="3" state="visible" r:id="rId3"/>
    <sheet name="Recommendation 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;[Red](0.0%);-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A463B"/>
      <sz val="9"/>
    </font>
    <font>
      <b val="1"/>
      <color rgb="00FFFFFF"/>
      <sz val="9"/>
    </font>
    <font>
      <color rgb="002B2522"/>
      <sz val="9"/>
    </font>
    <font>
      <color rgb="006B625D"/>
      <sz val="8"/>
    </font>
  </fonts>
  <fills count="6">
    <fill>
      <patternFill/>
    </fill>
    <fill>
      <patternFill patternType="gray125"/>
    </fill>
    <fill>
      <patternFill patternType="solid">
        <fgColor rgb="003B2F2F"/>
        <bgColor rgb="003B2F2F"/>
      </patternFill>
    </fill>
    <fill>
      <patternFill patternType="solid">
        <fgColor rgb="00F7F1E8"/>
        <bgColor rgb="00F7F1E8"/>
      </patternFill>
    </fill>
    <fill>
      <patternFill patternType="solid">
        <fgColor rgb="00B58A3A"/>
        <bgColor rgb="00B58A3A"/>
      </patternFill>
    </fill>
    <fill>
      <patternFill patternType="solid">
        <fgColor rgb="005A463B"/>
        <bgColor rgb="005A4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49" fontId="5" fillId="0" borderId="0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DDEBDD"/>
          <bgColor rgb="00DDEBDD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E9E7E4"/>
          <bgColor rgb="00E9E7E4"/>
        </patternFill>
      </fill>
    </dxf>
    <dxf>
      <fill>
        <patternFill patternType="solid">
          <fgColor rgb="00FFF0CC"/>
          <bgColor rgb="00FFF0CC"/>
        </patternFill>
      </fill>
    </dxf>
    <dxf>
      <fill>
        <patternFill patternType="solid">
          <fgColor rgb="00DDEAF6"/>
          <bgColor rgb="00DDEA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Recommended annual economic impact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Summary'!S4</f>
            </strRef>
          </tx>
          <spPr>
            <a:ln>
              <a:prstDash val="solid"/>
            </a:ln>
          </spPr>
          <cat>
            <numRef>
              <f>'Executive Summary'!$G$5:$G$19</f>
            </numRef>
          </cat>
          <val>
            <numRef>
              <f>'Executive Summary'!$S$5:$S$19</f>
            </numRef>
          </val>
        </ser>
        <ser>
          <idx val="1"/>
          <order val="1"/>
          <tx>
            <strRef>
              <f>'Executive Summary'!T4</f>
            </strRef>
          </tx>
          <spPr>
            <a:ln>
              <a:prstDash val="solid"/>
            </a:ln>
          </spPr>
          <cat>
            <numRef>
              <f>'Executive Summary'!$G$5:$G$19</f>
            </numRef>
          </cat>
          <val>
            <numRef>
              <f>'Executive Summary'!$T$5:$T$19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21</row>
      <rowOff>0</rowOff>
    </from>
    <ext cx="115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ecutiveMetrics" displayName="ExecutiveMetrics" ref="A4:E20" headerRowCount="1">
  <autoFilter ref="A4:E20"/>
  <tableColumns count="5">
    <tableColumn id="1" name="Section"/>
    <tableColumn id="2" name="Metric"/>
    <tableColumn id="3" name="Value"/>
    <tableColumn id="4" name="Currency"/>
    <tableColumn id="5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aterialImpacts" displayName="MaterialImpacts" ref="G4:T19" headerRowCount="1">
  <autoFilter ref="G4:T19"/>
  <tableColumns count="14">
    <tableColumn id="7" name="Warehouse"/>
    <tableColumn id="8" name="Owner"/>
    <tableColumn id="9" name="Currency"/>
    <tableColumn id="10" name="Forward baseline"/>
    <tableColumn id="11" name="Impact type"/>
    <tableColumn id="12" name="Recommended annual impact"/>
    <tableColumn id="13" name="Scenario low"/>
    <tableColumn id="14" name="Scenario high"/>
    <tableColumn id="15" name="Impact %"/>
    <tableColumn id="16" name="Recommended plan"/>
    <tableColumn id="17" name="Confidence"/>
    <tableColumn id="18" name="Next action"/>
    <tableColumn id="19" name="Savings"/>
    <tableColumn id="20" name="Cost increase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WarehousePortfolio" displayName="WarehousePortfolio" ref="A4:BF19" headerRowCount="1">
  <autoFilter ref="A4:BF19"/>
  <tableColumns count="58">
    <tableColumn id="1" name="Package ID"/>
    <tableColumn id="2" name="Workspace ID"/>
    <tableColumn id="3" name="Warehouse ID"/>
    <tableColumn id="4" name="Warehouse"/>
    <tableColumn id="5" name="Owner"/>
    <tableColumn id="6" name="Region"/>
    <tableColumn id="7" name="Epoch ID"/>
    <tableColumn id="8" name="Epoch age (d)"/>
    <tableColumn id="9" name="Primary source"/>
    <tableColumn id="10" name="Queries 30d"/>
    <tableColumn id="11" name="Active days 30d"/>
    <tableColumn id="12" name="Type"/>
    <tableColumn id="13" name="Size"/>
    <tableColumn id="14" name="Min"/>
    <tableColumn id="15" name="Max"/>
    <tableColumn id="16" name="Auto-stop (min)"/>
    <tableColumn id="17" name="Channel"/>
    <tableColumn id="18" name="Photon"/>
    <tableColumn id="19" name="Currency"/>
    <tableColumn id="20" name="Actual DBU"/>
    <tableColumn id="21" name="Actual AWS"/>
    <tableColumn id="22" name="Actual total"/>
    <tableColumn id="23" name="Forward DBU"/>
    <tableColumn id="24" name="Forward AWS"/>
    <tableColumn id="25" name="Forward total"/>
    <tableColumn id="26" name="Base impact type"/>
    <tableColumn id="27" name="Low annual impact"/>
    <tableColumn id="28" name="Base annual impact"/>
    <tableColumn id="29" name="High annual impact"/>
    <tableColumn id="30" name="Est. cost low"/>
    <tableColumn id="31" name="Est. cost base"/>
    <tableColumn id="32" name="Est. cost high"/>
    <tableColumn id="33" name="Base impact %"/>
    <tableColumn id="34" name="Scenario ID"/>
    <tableColumn id="35" name="Recommended plan"/>
    <tableColumn id="36" name="Scenario type"/>
    <tableColumn id="37" name="Confidence"/>
    <tableColumn id="38" name="Conf. score"/>
    <tableColumn id="39" name="Next action"/>
    <tableColumn id="40" name="HITL?"/>
    <tableColumn id="41" name="Overall status"/>
    <tableColumn id="42" name="Evidence quality"/>
    <tableColumn id="43" name="Evidence conf."/>
    <tableColumn id="44" name="Candidates"/>
    <tableColumn id="45" name="Actionable"/>
    <tableColumn id="46" name="Test req."/>
    <tableColumn id="47" name="Review"/>
    <tableColumn id="48" name="Blocked"/>
    <tableColumn id="49" name="No change"/>
    <tableColumn id="50" name="N/A"/>
    <tableColumn id="51" name="Insuff. evidence"/>
    <tableColumn id="52" name="Candidate view"/>
    <tableColumn id="53" name="Execution plan"/>
    <tableColumn id="54" name="Query source JSON"/>
    <tableColumn id="55" name="Scenario IDs"/>
    <tableColumn id="56" name="Candidate IDs"/>
    <tableColumn id="57" name="Package JSON"/>
    <tableColumn id="58" name="Evidence summary JS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cenarioPlans" displayName="ScenarioPlans" ref="A4:AS34" headerRowCount="1">
  <autoFilter ref="A4:AS34"/>
  <tableColumns count="45">
    <tableColumn id="1" name="Package ID"/>
    <tableColumn id="2" name="Scenario ID"/>
    <tableColumn id="3" name="Workspace ID"/>
    <tableColumn id="4" name="Warehouse ID"/>
    <tableColumn id="5" name="Warehouse"/>
    <tableColumn id="6" name="Owner"/>
    <tableColumn id="7" name="Scenario"/>
    <tableColumn id="8" name="Type"/>
    <tableColumn id="9" name="Status"/>
    <tableColumn id="10" name="Recommended?"/>
    <tableColumn id="11" name="Conf. score"/>
    <tableColumn id="12" name="Confidence"/>
    <tableColumn id="13" name="Confidence method"/>
    <tableColumn id="14" name="Compatibility"/>
    <tableColumn id="15" name="Compat. mode"/>
    <tableColumn id="16" name="Currency"/>
    <tableColumn id="17" name="Base impact type"/>
    <tableColumn id="18" name="Baseline DBU"/>
    <tableColumn id="19" name="Baseline AWS"/>
    <tableColumn id="20" name="Baseline total"/>
    <tableColumn id="21" name="DBU low impact"/>
    <tableColumn id="22" name="DBU base impact"/>
    <tableColumn id="23" name="DBU high impact"/>
    <tableColumn id="24" name="AWS low impact"/>
    <tableColumn id="25" name="AWS base impact"/>
    <tableColumn id="26" name="AWS high impact"/>
    <tableColumn id="27" name="Total low impact"/>
    <tableColumn id="28" name="Total base impact"/>
    <tableColumn id="29" name="Total high impact"/>
    <tableColumn id="30" name="Est. cost low"/>
    <tableColumn id="31" name="Est. cost base"/>
    <tableColumn id="32" name="Est. cost high"/>
    <tableColumn id="33" name="Estimation status"/>
    <tableColumn id="34" name="Contingent low impact"/>
    <tableColumn id="35" name="Contingent base impact"/>
    <tableColumn id="36" name="Contingent high impact"/>
    <tableColumn id="37" name="Execution plan"/>
    <tableColumn id="38" name="Remeasure?"/>
    <tableColumn id="39" name="Remeasure days"/>
    <tableColumn id="40" name="Compatibility checks"/>
    <tableColumn id="41" name="Compatibility blockers"/>
    <tableColumn id="42" name="Execution plan JSON"/>
    <tableColumn id="43" name="Candidate IDs"/>
    <tableColumn id="44" name="Dependencies"/>
    <tableColumn id="45" name="Invalidation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ecommendationRegistry" displayName="RecommendationRegistry" ref="A4:BA94" headerRowCount="1">
  <autoFilter ref="A4:BA94"/>
  <tableColumns count="53">
    <tableColumn id="1" name="Package ID"/>
    <tableColumn id="2" name="Candidate ID"/>
    <tableColumn id="3" name="Technique ID"/>
    <tableColumn id="4" name="Workspace ID"/>
    <tableColumn id="5" name="Warehouse ID"/>
    <tableColumn id="6" name="Warehouse"/>
    <tableColumn id="7" name="Owner"/>
    <tableColumn id="8" name="Epoch ID"/>
    <tableColumn id="9" name="Knob"/>
    <tableColumn id="10" name="Status"/>
    <tableColumn id="11" name="Objective"/>
    <tableColumn id="12" name="Current"/>
    <tableColumn id="13" name="Recommended"/>
    <tableColumn id="14" name="Rationale"/>
    <tableColumn id="15" name="Conf. score"/>
    <tableColumn id="16" name="Confidence"/>
    <tableColumn id="17" name="Economics?"/>
    <tableColumn id="18" name="Currency"/>
    <tableColumn id="19" name="Base impact type"/>
    <tableColumn id="20" name="Baseline DBU"/>
    <tableColumn id="21" name="Baseline AWS"/>
    <tableColumn id="22" name="Baseline total"/>
    <tableColumn id="23" name="DBU low impact"/>
    <tableColumn id="24" name="DBU base impact"/>
    <tableColumn id="25" name="DBU high impact"/>
    <tableColumn id="26" name="AWS low impact"/>
    <tableColumn id="27" name="AWS base impact"/>
    <tableColumn id="28" name="AWS high impact"/>
    <tableColumn id="29" name="Total low impact"/>
    <tableColumn id="30" name="Total base impact"/>
    <tableColumn id="31" name="Total high impact"/>
    <tableColumn id="32" name="Est. cost low"/>
    <tableColumn id="33" name="Est. cost base"/>
    <tableColumn id="34" name="Est. cost high"/>
    <tableColumn id="35" name="Additive?"/>
    <tableColumn id="36" name="Realization"/>
    <tableColumn id="37" name="Applied at"/>
    <tableColumn id="38" name="Validation"/>
    <tableColumn id="39" name="Realized DBU impact"/>
    <tableColumn id="40" name="Realized AWS impact"/>
    <tableColumn id="41" name="Realized total impact"/>
    <tableColumn id="42" name="Annualized realized"/>
    <tableColumn id="43" name="Rollback?"/>
    <tableColumn id="44" name="Decision rule"/>
    <tableColumn id="45" name="Confidence components"/>
    <tableColumn id="46" name="Evidence refs"/>
    <tableColumn id="47" name="Evidence / findings"/>
    <tableColumn id="48" name="Thresholds"/>
    <tableColumn id="49" name="Dependencies"/>
    <tableColumn id="50" name="Invalidates"/>
    <tableColumn id="51" name="Blockers"/>
    <tableColumn id="52" name="Scenario membership"/>
    <tableColumn id="53" name="Realization J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10" customWidth="1" min="4" max="4"/>
    <col width="45" customWidth="1" min="5" max="5"/>
    <col width="22" customWidth="1" min="7" max="7"/>
    <col width="32" customWidth="1" min="8" max="8"/>
    <col width="9" customWidth="1" min="9" max="9"/>
    <col width="16" customWidth="1" min="10" max="10"/>
    <col width="15" customWidth="1" min="11" max="11"/>
    <col width="18" customWidth="1" min="12" max="12"/>
    <col width="15" customWidth="1" min="13" max="13"/>
    <col width="15" customWidth="1" min="14" max="14"/>
    <col width="11" customWidth="1" min="15" max="15"/>
    <col width="34" customWidth="1" min="16" max="16"/>
    <col width="12" customWidth="1" min="17" max="17"/>
    <col width="30" customWidth="1" min="18" max="18"/>
    <col width="14" customWidth="1" min="19" max="19"/>
    <col width="14" customWidth="1" min="20" max="20"/>
  </cols>
  <sheetData>
    <row r="1" ht="28" customHeight="1">
      <c r="A1" s="1" t="inlineStr">
        <is>
          <t>SQL Warehouse Optimization — Executive Summary</t>
        </is>
      </c>
    </row>
    <row r="2" ht="24" customHeight="1">
      <c r="A2" s="2" t="inlineStr">
        <is>
          <t>Decision-ready portfolio view from Reporter JSON Contract v1.1.0. Financial cells are numeric; impact direction is explicit and sortable.</t>
        </is>
      </c>
    </row>
    <row r="3" ht="20" customHeight="1">
      <c r="A3" s="3" t="inlineStr">
        <is>
          <t>Portfolio metrics</t>
        </is>
      </c>
      <c r="G3" s="4" t="inlineStr">
        <is>
          <t>Top warehouse impacts (up to 15)</t>
        </is>
      </c>
    </row>
    <row r="4" ht="30" customHeight="1">
      <c r="A4" s="5" t="inlineStr">
        <is>
          <t>Section</t>
        </is>
      </c>
      <c r="B4" s="5" t="inlineStr">
        <is>
          <t>Metric</t>
        </is>
      </c>
      <c r="C4" s="5" t="inlineStr">
        <is>
          <t>Value</t>
        </is>
      </c>
      <c r="D4" s="5" t="inlineStr">
        <is>
          <t>Currency</t>
        </is>
      </c>
      <c r="E4" s="5" t="inlineStr">
        <is>
          <t>Notes</t>
        </is>
      </c>
      <c r="G4" s="5" t="inlineStr">
        <is>
          <t>Warehouse</t>
        </is>
      </c>
      <c r="H4" s="5" t="inlineStr">
        <is>
          <t>Owner</t>
        </is>
      </c>
      <c r="I4" s="5" t="inlineStr">
        <is>
          <t>Currency</t>
        </is>
      </c>
      <c r="J4" s="5" t="inlineStr">
        <is>
          <t>Forward baseline</t>
        </is>
      </c>
      <c r="K4" s="5" t="inlineStr">
        <is>
          <t>Impact type</t>
        </is>
      </c>
      <c r="L4" s="5" t="inlineStr">
        <is>
          <t>Recommended annual impact</t>
        </is>
      </c>
      <c r="M4" s="5" t="inlineStr">
        <is>
          <t>Scenario low</t>
        </is>
      </c>
      <c r="N4" s="5" t="inlineStr">
        <is>
          <t>Scenario high</t>
        </is>
      </c>
      <c r="O4" s="5" t="inlineStr">
        <is>
          <t>Impact %</t>
        </is>
      </c>
      <c r="P4" s="5" t="inlineStr">
        <is>
          <t>Recommended plan</t>
        </is>
      </c>
      <c r="Q4" s="5" t="inlineStr">
        <is>
          <t>Confidence</t>
        </is>
      </c>
      <c r="R4" s="5" t="inlineStr">
        <is>
          <t>Next action</t>
        </is>
      </c>
      <c r="S4" s="5" t="inlineStr">
        <is>
          <t>Savings</t>
        </is>
      </c>
      <c r="T4" s="5" t="inlineStr">
        <is>
          <t>Cost increase</t>
        </is>
      </c>
    </row>
    <row r="5" ht="30" customHeight="1">
      <c r="A5" t="inlineStr">
        <is>
          <t>Coverage</t>
        </is>
      </c>
      <c r="B5" t="inlineStr">
        <is>
          <t>Workbook contract</t>
        </is>
      </c>
      <c r="C5" t="inlineStr">
        <is>
          <t>1.2.0</t>
        </is>
      </c>
      <c r="D5" t="inlineStr">
        <is>
          <t>—</t>
        </is>
      </c>
      <c r="E5" s="6" t="inlineStr">
        <is>
          <t>Compact projection of Reporter JSON Contract v1.1.0</t>
        </is>
      </c>
      <c r="G5" s="6" t="inlineStr">
        <is>
          <t>Executive Dashboards</t>
        </is>
      </c>
      <c r="H5" s="7" t="inlineStr">
        <is>
          <t>exec-analytics@databricks.example</t>
        </is>
      </c>
      <c r="I5" t="inlineStr">
        <is>
          <t>USD</t>
        </is>
      </c>
      <c r="J5" s="8" t="n">
        <v>69285.98</v>
      </c>
      <c r="K5" t="inlineStr">
        <is>
          <t>SAVINGS</t>
        </is>
      </c>
      <c r="L5" s="8" t="n">
        <v>18635.53</v>
      </c>
      <c r="M5" s="8" t="n">
        <v>-3071.82</v>
      </c>
      <c r="N5" s="8" t="n">
        <v>53366.98</v>
      </c>
      <c r="O5" s="9" t="n">
        <v>0.268965</v>
      </c>
      <c r="P5" s="6" t="inlineStr">
        <is>
          <t>Plan A — Optimize current warehouse type</t>
        </is>
      </c>
      <c r="Q5" t="inlineStr">
        <is>
          <t>MEDIUM</t>
        </is>
      </c>
      <c r="R5" s="6" t="inlineStr">
        <is>
          <t>RUN_WAREHOUSE_SIZE_CANARY</t>
        </is>
      </c>
      <c r="S5" s="8" t="n">
        <v>18635.53</v>
      </c>
      <c r="T5" s="8" t="n">
        <v>0</v>
      </c>
    </row>
    <row r="6" ht="30" customHeight="1">
      <c r="A6" t="inlineStr">
        <is>
          <t>Coverage</t>
        </is>
      </c>
      <c r="B6" t="inlineStr">
        <is>
          <t>Reporter contract</t>
        </is>
      </c>
      <c r="C6" t="inlineStr">
        <is>
          <t>1.1.0</t>
        </is>
      </c>
      <c r="D6" t="inlineStr">
        <is>
          <t>—</t>
        </is>
      </c>
      <c r="E6" s="6" t="inlineStr">
        <is>
          <t>Locked JSON source of truth</t>
        </is>
      </c>
      <c r="G6" s="6" t="inlineStr">
        <is>
          <t>Serverless Analytics</t>
        </is>
      </c>
      <c r="H6" s="7" t="inlineStr">
        <is>
          <t>serverless-analytics@databricks.example</t>
        </is>
      </c>
      <c r="I6" t="inlineStr">
        <is>
          <t>USD</t>
        </is>
      </c>
      <c r="J6" s="8" t="n">
        <v>52000</v>
      </c>
      <c r="K6" t="inlineStr">
        <is>
          <t>SAVINGS</t>
        </is>
      </c>
      <c r="L6" s="8" t="n">
        <v>18200</v>
      </c>
      <c r="M6" s="8" t="n">
        <v>-36993.78</v>
      </c>
      <c r="N6" s="8" t="n">
        <v>29751.56</v>
      </c>
      <c r="O6" s="9" t="n">
        <v>0.35</v>
      </c>
      <c r="P6" s="6" t="inlineStr">
        <is>
          <t>Plan A — Optimize current warehouse type</t>
        </is>
      </c>
      <c r="Q6" t="inlineStr">
        <is>
          <t>MEDIUM</t>
        </is>
      </c>
      <c r="R6" s="6" t="inlineStr">
        <is>
          <t>RUN_WAREHOUSE_SIZE_CANARY</t>
        </is>
      </c>
      <c r="S6" s="8" t="n">
        <v>18200</v>
      </c>
      <c r="T6" s="8" t="n">
        <v>0</v>
      </c>
    </row>
    <row r="7" ht="30" customHeight="1">
      <c r="A7" t="inlineStr">
        <is>
          <t>Coverage</t>
        </is>
      </c>
      <c r="B7" t="inlineStr">
        <is>
          <t>Warehouses assessed</t>
        </is>
      </c>
      <c r="C7" s="10" t="n">
        <v>15</v>
      </c>
      <c r="D7" t="inlineStr">
        <is>
          <t>—</t>
        </is>
      </c>
      <c r="E7" s="6" t="inlineStr">
        <is>
          <t>One immutable package per warehouse/current epoch</t>
        </is>
      </c>
      <c r="G7" s="6" t="inlineStr">
        <is>
          <t>BI - Sales</t>
        </is>
      </c>
      <c r="H7" s="7" t="inlineStr">
        <is>
          <t>sales-bi@databricks.example</t>
        </is>
      </c>
      <c r="I7" t="inlineStr">
        <is>
          <t>USD</t>
        </is>
      </c>
      <c r="J7" s="8" t="n">
        <v>38725.1</v>
      </c>
      <c r="K7" t="inlineStr">
        <is>
          <t>SAVINGS</t>
        </is>
      </c>
      <c r="L7" s="8" t="n">
        <v>10338.49</v>
      </c>
      <c r="M7" s="8" t="n">
        <v>-1827.2</v>
      </c>
      <c r="N7" s="8" t="n">
        <v>25571.95</v>
      </c>
      <c r="O7" s="9" t="n">
        <v>0.266971</v>
      </c>
      <c r="P7" s="6" t="inlineStr">
        <is>
          <t>Plan A — Optimize current warehouse type</t>
        </is>
      </c>
      <c r="Q7" t="inlineStr">
        <is>
          <t>MEDIUM</t>
        </is>
      </c>
      <c r="R7" s="6" t="inlineStr">
        <is>
          <t>RUN_WAREHOUSE_SIZE_CANARY</t>
        </is>
      </c>
      <c r="S7" s="8" t="n">
        <v>10338.49</v>
      </c>
      <c r="T7" s="8" t="n">
        <v>0</v>
      </c>
    </row>
    <row r="8" ht="30" customHeight="1">
      <c r="A8" t="inlineStr">
        <is>
          <t>Coverage</t>
        </is>
      </c>
      <c r="B8" t="inlineStr">
        <is>
          <t>Workspaces</t>
        </is>
      </c>
      <c r="C8" s="10" t="n">
        <v>2</v>
      </c>
      <c r="D8" t="inlineStr">
        <is>
          <t>—</t>
        </is>
      </c>
      <c r="E8" s="6" t="inlineStr">
        <is>
          <t>—</t>
        </is>
      </c>
      <c r="G8" s="6" t="inlineStr">
        <is>
          <t>Ops Dashboards</t>
        </is>
      </c>
      <c r="H8" s="7" t="inlineStr">
        <is>
          <t>operations@databricks.example</t>
        </is>
      </c>
      <c r="I8" t="inlineStr">
        <is>
          <t>USD</t>
        </is>
      </c>
      <c r="J8" s="8" t="n">
        <v>31338.12</v>
      </c>
      <c r="K8" t="inlineStr">
        <is>
          <t>SAVINGS</t>
        </is>
      </c>
      <c r="L8" s="8" t="n">
        <v>9592.76</v>
      </c>
      <c r="M8" s="8" t="n">
        <v>5410.96</v>
      </c>
      <c r="N8" s="8" t="n">
        <v>23353.75</v>
      </c>
      <c r="O8" s="9" t="n">
        <v>0.306105</v>
      </c>
      <c r="P8" s="6" t="inlineStr">
        <is>
          <t>Plan A — Optimize current warehouse type</t>
        </is>
      </c>
      <c r="Q8" t="inlineStr">
        <is>
          <t>MEDIUM</t>
        </is>
      </c>
      <c r="R8" s="6" t="inlineStr">
        <is>
          <t>RUN_WAREHOUSE_SIZE_CANARY</t>
        </is>
      </c>
      <c r="S8" s="8" t="n">
        <v>9592.76</v>
      </c>
      <c r="T8" s="8" t="n">
        <v>0</v>
      </c>
    </row>
    <row r="9" ht="30" customHeight="1">
      <c r="A9" t="inlineStr">
        <is>
          <t>Coverage</t>
        </is>
      </c>
      <c r="B9" t="inlineStr">
        <is>
          <t>Regions</t>
        </is>
      </c>
      <c r="C9" s="10" t="n">
        <v>1</v>
      </c>
      <c r="D9" t="inlineStr">
        <is>
          <t>—</t>
        </is>
      </c>
      <c r="E9" s="6" t="inlineStr">
        <is>
          <t>—</t>
        </is>
      </c>
      <c r="G9" s="6" t="inlineStr">
        <is>
          <t>Photon Migration Lab</t>
        </is>
      </c>
      <c r="H9" s="7" t="inlineStr">
        <is>
          <t>platform-lab@databricks.example</t>
        </is>
      </c>
      <c r="I9" t="inlineStr">
        <is>
          <t>USD</t>
        </is>
      </c>
      <c r="J9" s="8" t="n">
        <v>23932.53</v>
      </c>
      <c r="K9" t="inlineStr">
        <is>
          <t>SAVINGS</t>
        </is>
      </c>
      <c r="L9" s="8" t="n">
        <v>8376.389999999999</v>
      </c>
      <c r="M9" s="8" t="n">
        <v>5384.82</v>
      </c>
      <c r="N9" s="8" t="n">
        <v>19546.26</v>
      </c>
      <c r="O9" s="9" t="n">
        <v>0.35</v>
      </c>
      <c r="P9" s="6" t="inlineStr">
        <is>
          <t>Plan A — Optimize current warehouse type</t>
        </is>
      </c>
      <c r="Q9" t="inlineStr">
        <is>
          <t>MEDIUM</t>
        </is>
      </c>
      <c r="R9" s="6" t="inlineStr">
        <is>
          <t>RUN_WAREHOUSE_SIZE_CANARY</t>
        </is>
      </c>
      <c r="S9" s="8" t="n">
        <v>8376.389999999999</v>
      </c>
      <c r="T9" s="8" t="n">
        <v>0</v>
      </c>
    </row>
    <row r="10" ht="30" customHeight="1">
      <c r="A10" t="inlineStr">
        <is>
          <t>Coverage</t>
        </is>
      </c>
      <c r="B10" t="inlineStr">
        <is>
          <t>Economically assessable</t>
        </is>
      </c>
      <c r="C10" s="10" t="n">
        <v>15</v>
      </c>
      <c r="D10" t="inlineStr">
        <is>
          <t>—</t>
        </is>
      </c>
      <c r="E10" s="6" t="inlineStr">
        <is>
          <t>Excluded: 0</t>
        </is>
      </c>
      <c r="G10" s="6" t="inlineStr">
        <is>
          <t>Cold Start BI</t>
        </is>
      </c>
      <c r="H10" s="7" t="inlineStr">
        <is>
          <t>bi-platform@databricks.example</t>
        </is>
      </c>
      <c r="I10" t="inlineStr">
        <is>
          <t>USD</t>
        </is>
      </c>
      <c r="J10" s="8" t="n">
        <v>22488.19</v>
      </c>
      <c r="K10" t="inlineStr">
        <is>
          <t>SAVINGS</t>
        </is>
      </c>
      <c r="L10" s="8" t="n">
        <v>6971.45</v>
      </c>
      <c r="M10" s="8" t="n">
        <v>3987.46</v>
      </c>
      <c r="N10" s="8" t="n">
        <v>14279.35</v>
      </c>
      <c r="O10" s="9" t="n">
        <v>0.310005</v>
      </c>
      <c r="P10" s="6" t="inlineStr">
        <is>
          <t>Plan A — Optimize current warehouse type</t>
        </is>
      </c>
      <c r="Q10" t="inlineStr">
        <is>
          <t>MEDIUM</t>
        </is>
      </c>
      <c r="R10" s="6" t="inlineStr">
        <is>
          <t>RUN_WAREHOUSE_SIZE_CANARY</t>
        </is>
      </c>
      <c r="S10" s="8" t="n">
        <v>6971.45</v>
      </c>
      <c r="T10" s="8" t="n">
        <v>0</v>
      </c>
    </row>
    <row r="11" ht="30" customHeight="1">
      <c r="A11" t="inlineStr">
        <is>
          <t>Cost</t>
        </is>
      </c>
      <c r="B11" t="inlineStr">
        <is>
          <t>Actual trailing 365d</t>
        </is>
      </c>
      <c r="C11" t="inlineStr">
        <is>
          <t>UNAVAILABLE</t>
        </is>
      </c>
      <c r="D11" t="inlineStr">
        <is>
          <t>USD</t>
        </is>
      </c>
      <c r="E11" s="6" t="inlineStr">
        <is>
          <t>UNAVAILABLE when any package lacks historical AWS total</t>
        </is>
      </c>
      <c r="G11" s="6" t="inlineStr">
        <is>
          <t>HR Reporting</t>
        </is>
      </c>
      <c r="H11" s="7" t="inlineStr">
        <is>
          <t>hr-analytics@databricks.example</t>
        </is>
      </c>
      <c r="I11" t="inlineStr">
        <is>
          <t>USD</t>
        </is>
      </c>
      <c r="J11" s="8" t="n">
        <v>19115.24</v>
      </c>
      <c r="K11" t="inlineStr">
        <is>
          <t>SAVINGS</t>
        </is>
      </c>
      <c r="L11" s="8" t="n">
        <v>6690.33</v>
      </c>
      <c r="M11" s="8" t="n">
        <v>4300.93</v>
      </c>
      <c r="N11" s="8" t="n">
        <v>15059.68</v>
      </c>
      <c r="O11" s="9" t="n">
        <v>0.35</v>
      </c>
      <c r="P11" s="6" t="inlineStr">
        <is>
          <t>Plan A — Optimize current warehouse type</t>
        </is>
      </c>
      <c r="Q11" t="inlineStr">
        <is>
          <t>MEDIUM</t>
        </is>
      </c>
      <c r="R11" s="6" t="inlineStr">
        <is>
          <t>RUN_WAREHOUSE_SIZE_CANARY</t>
        </is>
      </c>
      <c r="S11" s="8" t="n">
        <v>6690.33</v>
      </c>
      <c r="T11" s="8" t="n">
        <v>0</v>
      </c>
    </row>
    <row r="12" ht="30" customHeight="1">
      <c r="A12" t="inlineStr">
        <is>
          <t>Cost</t>
        </is>
      </c>
      <c r="B12" t="inlineStr">
        <is>
          <t>Forward 365d baseline</t>
        </is>
      </c>
      <c r="C12" s="8" t="n">
        <v>790079.4300000001</v>
      </c>
      <c r="D12" t="inlineStr">
        <is>
          <t>USD</t>
        </is>
      </c>
      <c r="E12" s="6" t="inlineStr">
        <is>
          <t>No-change forecast</t>
        </is>
      </c>
      <c r="G12" s="6" t="inlineStr">
        <is>
          <t>Marketing Ad Hoc</t>
        </is>
      </c>
      <c r="H12" s="7" t="inlineStr">
        <is>
          <t>marketing-analytics@databricks.example</t>
        </is>
      </c>
      <c r="I12" t="inlineStr">
        <is>
          <t>USD</t>
        </is>
      </c>
      <c r="J12" s="8" t="n">
        <v>21159.65</v>
      </c>
      <c r="K12" t="inlineStr">
        <is>
          <t>SAVINGS</t>
        </is>
      </c>
      <c r="L12" s="8" t="n">
        <v>5762.6</v>
      </c>
      <c r="M12" s="8" t="n">
        <v>-836.14</v>
      </c>
      <c r="N12" s="8" t="n">
        <v>10161.76</v>
      </c>
      <c r="O12" s="9" t="n">
        <v>0.272339</v>
      </c>
      <c r="P12" s="6" t="inlineStr">
        <is>
          <t>Plan A — Optimize current warehouse type</t>
        </is>
      </c>
      <c r="Q12" t="inlineStr">
        <is>
          <t>MEDIUM</t>
        </is>
      </c>
      <c r="R12" s="6" t="inlineStr">
        <is>
          <t>RUN_WAREHOUSE_SIZE_CANARY</t>
        </is>
      </c>
      <c r="S12" s="8" t="n">
        <v>5762.6</v>
      </c>
      <c r="T12" s="8" t="n">
        <v>0</v>
      </c>
    </row>
    <row r="13" ht="30" customHeight="1">
      <c r="A13" t="inlineStr">
        <is>
          <t>Economic impact</t>
        </is>
      </c>
      <c r="B13" t="inlineStr">
        <is>
          <t>Recommended annual savings</t>
        </is>
      </c>
      <c r="C13" s="8" t="n">
        <v>88943.98</v>
      </c>
      <c r="D13" t="inlineStr">
        <is>
          <t>USD</t>
        </is>
      </c>
      <c r="E13" s="6" t="inlineStr">
        <is>
          <t>Sum of positive recommended-scenario base impacts</t>
        </is>
      </c>
      <c r="G13" s="6" t="inlineStr">
        <is>
          <t>Finance Executive</t>
        </is>
      </c>
      <c r="H13" s="7" t="inlineStr">
        <is>
          <t>finance-bi@databricks.example</t>
        </is>
      </c>
      <c r="I13" t="inlineStr">
        <is>
          <t>USD</t>
        </is>
      </c>
      <c r="J13" s="8" t="n">
        <v>23646.94</v>
      </c>
      <c r="K13" t="inlineStr">
        <is>
          <t>SAVINGS</t>
        </is>
      </c>
      <c r="L13" s="8" t="n">
        <v>4376.43</v>
      </c>
      <c r="M13" s="8" t="n">
        <v>670.5599999999999</v>
      </c>
      <c r="N13" s="8" t="n">
        <v>15200.66</v>
      </c>
      <c r="O13" s="9" t="n">
        <v>0.185074</v>
      </c>
      <c r="P13" s="6" t="inlineStr">
        <is>
          <t>Plan A — Optimize current warehouse type</t>
        </is>
      </c>
      <c r="Q13" t="inlineStr">
        <is>
          <t>MEDIUM</t>
        </is>
      </c>
      <c r="R13" s="6" t="inlineStr">
        <is>
          <t>RUN_WAREHOUSE_SIZE_CANARY</t>
        </is>
      </c>
      <c r="S13" s="8" t="n">
        <v>4376.43</v>
      </c>
      <c r="T13" s="8" t="n">
        <v>0</v>
      </c>
    </row>
    <row r="14" ht="30" customHeight="1">
      <c r="A14" t="inlineStr">
        <is>
          <t>Economic impact</t>
        </is>
      </c>
      <c r="B14" t="inlineStr">
        <is>
          <t>Recommended annual cost increase</t>
        </is>
      </c>
      <c r="C14" s="8" t="n">
        <v>94350.24000000001</v>
      </c>
      <c r="D14" t="inlineStr">
        <is>
          <t>USD</t>
        </is>
      </c>
      <c r="E14" s="6" t="inlineStr">
        <is>
          <t>Absolute sum of negative recommended-scenario base impacts</t>
        </is>
      </c>
      <c r="G14" s="6" t="inlineStr">
        <is>
          <t>New Product Launch</t>
        </is>
      </c>
      <c r="H14" s="7" t="inlineStr">
        <is>
          <t>product-analytics@databricks.example</t>
        </is>
      </c>
      <c r="I14" t="inlineStr">
        <is>
          <t>USD</t>
        </is>
      </c>
      <c r="J14" s="8" t="n">
        <v>163840</v>
      </c>
      <c r="K14" t="inlineStr">
        <is>
          <t>NO_CHANGE</t>
        </is>
      </c>
      <c r="L14" s="8" t="n">
        <v>0</v>
      </c>
      <c r="M14" s="8" t="n">
        <v>-176826.67</v>
      </c>
      <c r="N14" s="8" t="n">
        <v>0</v>
      </c>
      <c r="O14" s="9" t="n">
        <v>0</v>
      </c>
      <c r="P14" s="6" t="inlineStr">
        <is>
          <t>Plan A — Optimize current warehouse type</t>
        </is>
      </c>
      <c r="Q14" t="inlineStr">
        <is>
          <t>HIGH</t>
        </is>
      </c>
      <c r="R14" s="6" t="inlineStr">
        <is>
          <t>REVIEW_SCENARIO</t>
        </is>
      </c>
      <c r="S14" s="8" t="n">
        <v>0</v>
      </c>
      <c r="T14" s="8" t="n">
        <v>-0</v>
      </c>
    </row>
    <row r="15" ht="30" customHeight="1">
      <c r="A15" t="inlineStr">
        <is>
          <t>Economic impact</t>
        </is>
      </c>
      <c r="B15" t="inlineStr">
        <is>
          <t>Recommended net annual impact</t>
        </is>
      </c>
      <c r="C15" s="8" t="n">
        <v>-5406.26</v>
      </c>
      <c r="D15" t="inlineStr">
        <is>
          <t>USD</t>
        </is>
      </c>
      <c r="E15" s="6" t="inlineStr">
        <is>
          <t>Positive = net savings; negative = net cost increase</t>
        </is>
      </c>
      <c r="G15" s="6" t="inlineStr">
        <is>
          <t>Sandbox Sparse</t>
        </is>
      </c>
      <c r="H15" s="7" t="inlineStr">
        <is>
          <t>sandbox@databricks.example</t>
        </is>
      </c>
      <c r="I15" t="inlineStr">
        <is>
          <t>USD</t>
        </is>
      </c>
      <c r="J15" s="8" t="n">
        <v>6933.77</v>
      </c>
      <c r="K15" t="inlineStr">
        <is>
          <t>NO_CHANGE</t>
        </is>
      </c>
      <c r="L15" s="8" t="n">
        <v>0</v>
      </c>
      <c r="M15" s="8" t="n">
        <v>-1443.28</v>
      </c>
      <c r="N15" s="8" t="n">
        <v>0</v>
      </c>
      <c r="O15" s="9" t="n">
        <v>0</v>
      </c>
      <c r="P15" s="6" t="inlineStr">
        <is>
          <t>Plan A — Optimize current warehouse type</t>
        </is>
      </c>
      <c r="Q15" t="inlineStr">
        <is>
          <t>HIGH</t>
        </is>
      </c>
      <c r="R15" s="6" t="inlineStr">
        <is>
          <t>REVIEW_SCENARIO</t>
        </is>
      </c>
      <c r="S15" s="8" t="n">
        <v>0</v>
      </c>
      <c r="T15" s="8" t="n">
        <v>-0</v>
      </c>
    </row>
    <row r="16" ht="30" customHeight="1">
      <c r="A16" t="inlineStr">
        <is>
          <t>Economic impact</t>
        </is>
      </c>
      <c r="B16" t="inlineStr">
        <is>
          <t>Scenario envelope low</t>
        </is>
      </c>
      <c r="C16" s="8" t="n">
        <v>-446946.29</v>
      </c>
      <c r="D16" t="inlineStr">
        <is>
          <t>USD</t>
        </is>
      </c>
      <c r="E16" s="6" t="inlineStr">
        <is>
          <t>Lowest package-level modeled impact across the portfolio</t>
        </is>
      </c>
      <c r="G16" s="6" t="inlineStr">
        <is>
          <t>ETL Heavy</t>
        </is>
      </c>
      <c r="H16" s="7" t="inlineStr">
        <is>
          <t>data-engineering@databricks.example</t>
        </is>
      </c>
      <c r="I16" t="inlineStr">
        <is>
          <t>USD</t>
        </is>
      </c>
      <c r="J16" s="8" t="n">
        <v>138769.7</v>
      </c>
      <c r="K16" t="inlineStr">
        <is>
          <t>COST_INCREASE</t>
        </is>
      </c>
      <c r="L16" s="8" t="n">
        <v>-45040.12</v>
      </c>
      <c r="M16" s="8" t="n">
        <v>-123815.76</v>
      </c>
      <c r="N16" s="8" t="n">
        <v>112961.62</v>
      </c>
      <c r="O16" s="9" t="n">
        <v>-0.324567</v>
      </c>
      <c r="P16" s="6" t="inlineStr">
        <is>
          <t>Plan A — Optimize current warehouse type</t>
        </is>
      </c>
      <c r="Q16" t="inlineStr">
        <is>
          <t>HIGH</t>
        </is>
      </c>
      <c r="R16" s="6" t="inlineStr">
        <is>
          <t>REVIEW_AND_EXECUTE_FIRST_READY_STEP</t>
        </is>
      </c>
      <c r="S16" s="8" t="n">
        <v>0</v>
      </c>
      <c r="T16" s="8" t="n">
        <v>45040.12</v>
      </c>
    </row>
    <row r="17" ht="30" customHeight="1">
      <c r="A17" t="inlineStr">
        <is>
          <t>Economic impact</t>
        </is>
      </c>
      <c r="B17" t="inlineStr">
        <is>
          <t>Scenario envelope high</t>
        </is>
      </c>
      <c r="C17" s="8" t="n">
        <v>463894.85</v>
      </c>
      <c r="D17" t="inlineStr">
        <is>
          <t>USD</t>
        </is>
      </c>
      <c r="E17" s="6" t="inlineStr">
        <is>
          <t>Highest package-level modeled impact across the portfolio</t>
        </is>
      </c>
      <c r="G17" s="6" t="inlineStr">
        <is>
          <t>Customer 360</t>
        </is>
      </c>
      <c r="H17" s="7" t="inlineStr">
        <is>
          <t>customer360@databricks.example</t>
        </is>
      </c>
      <c r="I17" t="inlineStr">
        <is>
          <t>USD</t>
        </is>
      </c>
      <c r="J17" s="8" t="n">
        <v>95670.23</v>
      </c>
      <c r="K17" t="inlineStr">
        <is>
          <t>COST_INCREASE</t>
        </is>
      </c>
      <c r="L17" s="8" t="n">
        <v>-38268.09</v>
      </c>
      <c r="M17" s="8" t="n">
        <v>-95670.23</v>
      </c>
      <c r="N17" s="8" t="n">
        <v>82667.69</v>
      </c>
      <c r="O17" s="9" t="n">
        <v>-0.4</v>
      </c>
      <c r="P17" s="6" t="inlineStr">
        <is>
          <t>Plan A — Optimize current warehouse type</t>
        </is>
      </c>
      <c r="Q17" t="inlineStr">
        <is>
          <t>HIGH</t>
        </is>
      </c>
      <c r="R17" s="6" t="inlineStr">
        <is>
          <t>REVIEW_AND_EXECUTE_FIRST_READY_STEP</t>
        </is>
      </c>
      <c r="S17" s="8" t="n">
        <v>0</v>
      </c>
      <c r="T17" s="8" t="n">
        <v>38268.09</v>
      </c>
    </row>
    <row r="18" ht="30" customHeight="1">
      <c r="A18" t="inlineStr">
        <is>
          <t>Confidence</t>
        </is>
      </c>
      <c r="B18" t="inlineStr">
        <is>
          <t>HIGH recommended scenario</t>
        </is>
      </c>
      <c r="C18" s="10" t="n">
        <v>5</v>
      </c>
      <c r="D18" t="inlineStr">
        <is>
          <t>—</t>
        </is>
      </c>
      <c r="E18" s="6" t="inlineStr">
        <is>
          <t>—</t>
        </is>
      </c>
      <c r="G18" s="6" t="inlineStr">
        <is>
          <t>Finance Concurrency</t>
        </is>
      </c>
      <c r="H18" s="7" t="inlineStr">
        <is>
          <t>finance-platform@databricks.example</t>
        </is>
      </c>
      <c r="I18" t="inlineStr">
        <is>
          <t>USD</t>
        </is>
      </c>
      <c r="J18" s="8" t="n">
        <v>41380.16</v>
      </c>
      <c r="K18" t="inlineStr">
        <is>
          <t>COST_INCREASE</t>
        </is>
      </c>
      <c r="L18" s="8" t="n">
        <v>-6207.02</v>
      </c>
      <c r="M18" s="8" t="n">
        <v>-12414.05</v>
      </c>
      <c r="N18" s="8" t="n">
        <v>33332.92</v>
      </c>
      <c r="O18" s="9" t="n">
        <v>-0.15</v>
      </c>
      <c r="P18" s="6" t="inlineStr">
        <is>
          <t>Plan A — Optimize current warehouse type</t>
        </is>
      </c>
      <c r="Q18" t="inlineStr">
        <is>
          <t>HIGH</t>
        </is>
      </c>
      <c r="R18" s="6" t="inlineStr">
        <is>
          <t>REVIEW_AND_EXECUTE_FIRST_READY_STEP</t>
        </is>
      </c>
      <c r="S18" s="8" t="n">
        <v>0</v>
      </c>
      <c r="T18" s="8" t="n">
        <v>6207.02</v>
      </c>
    </row>
    <row r="19" ht="30" customHeight="1">
      <c r="A19" t="inlineStr">
        <is>
          <t>Confidence</t>
        </is>
      </c>
      <c r="B19" t="inlineStr">
        <is>
          <t>MEDIUM recommended scenario</t>
        </is>
      </c>
      <c r="C19" s="10" t="n">
        <v>10</v>
      </c>
      <c r="D19" t="inlineStr">
        <is>
          <t>—</t>
        </is>
      </c>
      <c r="E19" s="6" t="inlineStr">
        <is>
          <t>—</t>
        </is>
      </c>
      <c r="G19" s="6" t="inlineStr">
        <is>
          <t>Supply Chain BI</t>
        </is>
      </c>
      <c r="H19" s="7" t="inlineStr">
        <is>
          <t>supply-chain@databricks.example</t>
        </is>
      </c>
      <c r="I19" t="inlineStr">
        <is>
          <t>USD</t>
        </is>
      </c>
      <c r="J19" s="8" t="n">
        <v>41793.82</v>
      </c>
      <c r="K19" t="inlineStr">
        <is>
          <t>COST_INCREASE</t>
        </is>
      </c>
      <c r="L19" s="8" t="n">
        <v>-4835.01</v>
      </c>
      <c r="M19" s="8" t="n">
        <v>-13802.09</v>
      </c>
      <c r="N19" s="8" t="n">
        <v>28640.67</v>
      </c>
      <c r="O19" s="9" t="n">
        <v>-0.115687</v>
      </c>
      <c r="P19" s="6" t="inlineStr">
        <is>
          <t>Plan A — Optimize current warehouse type</t>
        </is>
      </c>
      <c r="Q19" t="inlineStr">
        <is>
          <t>MEDIUM</t>
        </is>
      </c>
      <c r="R19" s="6" t="inlineStr">
        <is>
          <t>RUN_WAREHOUSE_SIZE_CANARY</t>
        </is>
      </c>
      <c r="S19" s="8" t="n">
        <v>0</v>
      </c>
      <c r="T19" s="8" t="n">
        <v>4835.01</v>
      </c>
    </row>
    <row r="20" ht="23" customHeight="1">
      <c r="A20" t="inlineStr">
        <is>
          <t>Confidence</t>
        </is>
      </c>
      <c r="B20" t="inlineStr">
        <is>
          <t>LOW recommended scenario</t>
        </is>
      </c>
      <c r="C20" s="10" t="n">
        <v>0</v>
      </c>
      <c r="D20" t="inlineStr">
        <is>
          <t>—</t>
        </is>
      </c>
      <c r="E20" s="6" t="inlineStr">
        <is>
          <t>—</t>
        </is>
      </c>
    </row>
  </sheetData>
  <mergeCells count="4">
    <mergeCell ref="A1:T1"/>
    <mergeCell ref="G3:T3"/>
    <mergeCell ref="A2:T2"/>
    <mergeCell ref="A3:E3"/>
  </mergeCells>
  <conditionalFormatting sqref="K5:K19">
    <cfRule type="expression" priority="1" dxfId="0">
      <formula>K5="SAVINGS"</formula>
    </cfRule>
    <cfRule type="expression" priority="2" dxfId="1">
      <formula>K5="COST_INCREASE"</formula>
    </cfRule>
    <cfRule type="expression" priority="3" dxfId="2">
      <formula>K5="NO_CHANGE"</formula>
    </cfRule>
  </conditionalFormatting>
  <conditionalFormatting sqref="Q5:Q19">
    <cfRule type="expression" priority="4" dxfId="0">
      <formula>Q5="HIGH"</formula>
    </cfRule>
    <cfRule type="expression" priority="5" dxfId="3">
      <formula>Q5="MEDIUM"</formula>
    </cfRule>
    <cfRule type="expression" priority="6" dxfId="1">
      <formula>Q5="LOW"</formula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6" customWidth="1" min="3" max="3"/>
    <col width="22" customWidth="1" min="4" max="4"/>
    <col width="24" customWidth="1" min="5" max="5"/>
    <col width="12" customWidth="1" min="6" max="6"/>
    <col width="23" customWidth="1" min="7" max="7"/>
    <col width="11" customWidth="1" min="8" max="8"/>
    <col width="15" customWidth="1" min="9" max="9"/>
    <col width="12" customWidth="1" min="10" max="10"/>
    <col width="13" customWidth="1" min="11" max="11"/>
    <col width="11" customWidth="1" min="12" max="12"/>
    <col width="10" customWidth="1" min="13" max="13"/>
    <col width="8" customWidth="1" min="14" max="14"/>
    <col width="8" customWidth="1" min="15" max="15"/>
    <col width="13" customWidth="1" min="16" max="16"/>
    <col width="12" customWidth="1" min="17" max="17"/>
    <col width="11" customWidth="1" min="18" max="18"/>
    <col width="9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  <col width="15" customWidth="1" min="27" max="27"/>
    <col width="15" customWidth="1" min="28" max="28"/>
    <col width="15" customWidth="1" min="29" max="29"/>
    <col width="14" customWidth="1" min="30" max="30"/>
    <col width="14" customWidth="1" min="31" max="31"/>
    <col width="14" customWidth="1" min="32" max="32"/>
    <col width="12" customWidth="1" min="33" max="33"/>
    <col width="25" customWidth="1" min="34" max="34"/>
    <col width="28" customWidth="1" min="35" max="35"/>
    <col width="22" customWidth="1" min="36" max="36"/>
    <col width="11" customWidth="1" min="37" max="37"/>
    <col width="11" customWidth="1" min="38" max="38"/>
    <col width="24" customWidth="1" min="39" max="39"/>
    <col width="9" customWidth="1" min="40" max="40"/>
    <col width="22" customWidth="1" min="41" max="41"/>
    <col width="17" customWidth="1" min="42" max="42"/>
    <col width="13" customWidth="1" min="43" max="43"/>
    <col width="11" customWidth="1" min="44" max="44"/>
    <col width="11" customWidth="1" min="45" max="45"/>
    <col width="10" customWidth="1" min="46" max="46"/>
    <col width="9" customWidth="1" min="47" max="47"/>
    <col width="9" customWidth="1" min="48" max="48"/>
    <col width="10" customWidth="1" min="49" max="49"/>
    <col width="8" customWidth="1" min="50" max="50"/>
    <col width="14" customWidth="1" min="51" max="51"/>
    <col width="42" customWidth="1" min="52" max="52"/>
    <col width="50" customWidth="1" min="53" max="53"/>
    <col width="22" customWidth="1" min="54" max="54"/>
    <col width="20" customWidth="1" min="55" max="55"/>
    <col width="20" customWidth="1" min="56" max="56"/>
    <col width="32" customWidth="1" min="57" max="57"/>
    <col width="22" customWidth="1" min="58" max="58"/>
  </cols>
  <sheetData>
    <row r="1" ht="28" customHeight="1">
      <c r="A1" s="1" t="inlineStr">
        <is>
          <t>Warehouse Portfolio</t>
        </is>
      </c>
    </row>
    <row r="2" ht="24" customHeight="1">
      <c r="A2" s="2" t="inlineStr">
        <is>
          <t>One row per recommendation package. All agreed contract columns are retained; verbose audit fields are placed at the far right.</t>
        </is>
      </c>
    </row>
    <row r="3" ht="20" customHeight="1">
      <c r="A3" s="11" t="inlineStr">
        <is>
          <t>Identity / epoch</t>
        </is>
      </c>
      <c r="I3" s="12" t="inlineStr">
        <is>
          <t>Workload</t>
        </is>
      </c>
      <c r="L3" s="11" t="inlineStr">
        <is>
          <t>Current configuration</t>
        </is>
      </c>
      <c r="S3" s="12" t="inlineStr">
        <is>
          <t>Cost baseline</t>
        </is>
      </c>
      <c r="Z3" s="11" t="inlineStr">
        <is>
          <t>Package opportunity</t>
        </is>
      </c>
      <c r="AH3" s="12" t="inlineStr">
        <is>
          <t>Recommended plan</t>
        </is>
      </c>
      <c r="AO3" s="11" t="inlineStr">
        <is>
          <t>Assessment</t>
        </is>
      </c>
      <c r="AZ3" s="12" t="inlineStr">
        <is>
          <t>Decision view</t>
        </is>
      </c>
      <c r="BB3" s="11" t="inlineStr">
        <is>
          <t>Audit / traceability</t>
        </is>
      </c>
    </row>
    <row r="4" ht="34" customHeight="1">
      <c r="A4" s="13" t="inlineStr">
        <is>
          <t>Package ID</t>
        </is>
      </c>
      <c r="B4" s="13" t="inlineStr">
        <is>
          <t>Workspace ID</t>
        </is>
      </c>
      <c r="C4" s="13" t="inlineStr">
        <is>
          <t>Warehouse ID</t>
        </is>
      </c>
      <c r="D4" s="13" t="inlineStr">
        <is>
          <t>Warehouse</t>
        </is>
      </c>
      <c r="E4" s="13" t="inlineStr">
        <is>
          <t>Owner</t>
        </is>
      </c>
      <c r="F4" s="13" t="inlineStr">
        <is>
          <t>Region</t>
        </is>
      </c>
      <c r="G4" s="13" t="inlineStr">
        <is>
          <t>Epoch ID</t>
        </is>
      </c>
      <c r="H4" s="13" t="inlineStr">
        <is>
          <t>Epoch age (d)</t>
        </is>
      </c>
      <c r="I4" s="13" t="inlineStr">
        <is>
          <t>Primary source</t>
        </is>
      </c>
      <c r="J4" s="13" t="inlineStr">
        <is>
          <t>Queries 30d</t>
        </is>
      </c>
      <c r="K4" s="13" t="inlineStr">
        <is>
          <t>Active days 30d</t>
        </is>
      </c>
      <c r="L4" s="13" t="inlineStr">
        <is>
          <t>Type</t>
        </is>
      </c>
      <c r="M4" s="13" t="inlineStr">
        <is>
          <t>Size</t>
        </is>
      </c>
      <c r="N4" s="13" t="inlineStr">
        <is>
          <t>Min</t>
        </is>
      </c>
      <c r="O4" s="13" t="inlineStr">
        <is>
          <t>Max</t>
        </is>
      </c>
      <c r="P4" s="13" t="inlineStr">
        <is>
          <t>Auto-stop (min)</t>
        </is>
      </c>
      <c r="Q4" s="13" t="inlineStr">
        <is>
          <t>Channel</t>
        </is>
      </c>
      <c r="R4" s="13" t="inlineStr">
        <is>
          <t>Photon</t>
        </is>
      </c>
      <c r="S4" s="13" t="inlineStr">
        <is>
          <t>Currency</t>
        </is>
      </c>
      <c r="T4" s="13" t="inlineStr">
        <is>
          <t>Actual DBU</t>
        </is>
      </c>
      <c r="U4" s="13" t="inlineStr">
        <is>
          <t>Actual AWS</t>
        </is>
      </c>
      <c r="V4" s="13" t="inlineStr">
        <is>
          <t>Actual total</t>
        </is>
      </c>
      <c r="W4" s="13" t="inlineStr">
        <is>
          <t>Forward DBU</t>
        </is>
      </c>
      <c r="X4" s="13" t="inlineStr">
        <is>
          <t>Forward AWS</t>
        </is>
      </c>
      <c r="Y4" s="13" t="inlineStr">
        <is>
          <t>Forward total</t>
        </is>
      </c>
      <c r="Z4" s="13" t="inlineStr">
        <is>
          <t>Base impact type</t>
        </is>
      </c>
      <c r="AA4" s="13" t="inlineStr">
        <is>
          <t>Low annual impact</t>
        </is>
      </c>
      <c r="AB4" s="13" t="inlineStr">
        <is>
          <t>Base annual impact</t>
        </is>
      </c>
      <c r="AC4" s="13" t="inlineStr">
        <is>
          <t>High annual impact</t>
        </is>
      </c>
      <c r="AD4" s="13" t="inlineStr">
        <is>
          <t>Est. cost low</t>
        </is>
      </c>
      <c r="AE4" s="13" t="inlineStr">
        <is>
          <t>Est. cost base</t>
        </is>
      </c>
      <c r="AF4" s="13" t="inlineStr">
        <is>
          <t>Est. cost high</t>
        </is>
      </c>
      <c r="AG4" s="13" t="inlineStr">
        <is>
          <t>Base impact %</t>
        </is>
      </c>
      <c r="AH4" s="13" t="inlineStr">
        <is>
          <t>Scenario ID</t>
        </is>
      </c>
      <c r="AI4" s="13" t="inlineStr">
        <is>
          <t>Recommended plan</t>
        </is>
      </c>
      <c r="AJ4" s="13" t="inlineStr">
        <is>
          <t>Scenario type</t>
        </is>
      </c>
      <c r="AK4" s="13" t="inlineStr">
        <is>
          <t>Confidence</t>
        </is>
      </c>
      <c r="AL4" s="13" t="inlineStr">
        <is>
          <t>Conf. score</t>
        </is>
      </c>
      <c r="AM4" s="13" t="inlineStr">
        <is>
          <t>Next action</t>
        </is>
      </c>
      <c r="AN4" s="13" t="inlineStr">
        <is>
          <t>HITL?</t>
        </is>
      </c>
      <c r="AO4" s="13" t="inlineStr">
        <is>
          <t>Overall status</t>
        </is>
      </c>
      <c r="AP4" s="13" t="inlineStr">
        <is>
          <t>Evidence quality</t>
        </is>
      </c>
      <c r="AQ4" s="13" t="inlineStr">
        <is>
          <t>Evidence conf.</t>
        </is>
      </c>
      <c r="AR4" s="13" t="inlineStr">
        <is>
          <t>Candidates</t>
        </is>
      </c>
      <c r="AS4" s="13" t="inlineStr">
        <is>
          <t>Actionable</t>
        </is>
      </c>
      <c r="AT4" s="13" t="inlineStr">
        <is>
          <t>Test req.</t>
        </is>
      </c>
      <c r="AU4" s="13" t="inlineStr">
        <is>
          <t>Review</t>
        </is>
      </c>
      <c r="AV4" s="13" t="inlineStr">
        <is>
          <t>Blocked</t>
        </is>
      </c>
      <c r="AW4" s="13" t="inlineStr">
        <is>
          <t>No change</t>
        </is>
      </c>
      <c r="AX4" s="13" t="inlineStr">
        <is>
          <t>N/A</t>
        </is>
      </c>
      <c r="AY4" s="13" t="inlineStr">
        <is>
          <t>Insuff. evidence</t>
        </is>
      </c>
      <c r="AZ4" s="13" t="inlineStr">
        <is>
          <t>Candidate view</t>
        </is>
      </c>
      <c r="BA4" s="13" t="inlineStr">
        <is>
          <t>Execution plan</t>
        </is>
      </c>
      <c r="BB4" s="13" t="inlineStr">
        <is>
          <t>Query source JSON</t>
        </is>
      </c>
      <c r="BC4" s="13" t="inlineStr">
        <is>
          <t>Scenario IDs</t>
        </is>
      </c>
      <c r="BD4" s="13" t="inlineStr">
        <is>
          <t>Candidate IDs</t>
        </is>
      </c>
      <c r="BE4" s="13" t="inlineStr">
        <is>
          <t>Package JSON</t>
        </is>
      </c>
      <c r="BF4" s="13" t="inlineStr">
        <is>
          <t>Evidence summary JSON</t>
        </is>
      </c>
    </row>
    <row r="5" ht="24" customHeight="1">
      <c r="A5" s="14" t="inlineStr">
        <is>
          <t>PKG-CAA063CBB4924A9B7B8E4514</t>
        </is>
      </c>
      <c r="B5" s="14" t="inlineStr">
        <is>
          <t>1234567890123456</t>
        </is>
      </c>
      <c r="C5" s="14" t="inlineStr">
        <is>
          <t>wh-synth-001</t>
        </is>
      </c>
      <c r="D5" s="15" t="inlineStr">
        <is>
          <t>BI - Sales</t>
        </is>
      </c>
      <c r="E5" s="16" t="inlineStr">
        <is>
          <t>sales-bi@databricks.example</t>
        </is>
      </c>
      <c r="F5" s="16" t="inlineStr">
        <is>
          <t>us-east-1</t>
        </is>
      </c>
      <c r="G5" s="14" t="inlineStr">
        <is>
          <t>EPOCH-1E860B90A87FD2D57B2BF76D</t>
        </is>
      </c>
      <c r="H5" s="17" t="n">
        <v>259</v>
      </c>
      <c r="I5" s="16" t="inlineStr">
        <is>
          <t>DASHBOARD</t>
        </is>
      </c>
      <c r="J5" s="17" t="n">
        <v>12000</v>
      </c>
      <c r="K5" s="17" t="n">
        <v>30</v>
      </c>
      <c r="L5" s="18" t="inlineStr">
        <is>
          <t>PRO</t>
        </is>
      </c>
      <c r="M5" s="18" t="inlineStr">
        <is>
          <t>LARGE</t>
        </is>
      </c>
      <c r="N5" s="17" t="n">
        <v>2</v>
      </c>
      <c r="O5" s="17" t="n">
        <v>4</v>
      </c>
      <c r="P5" s="17" t="n">
        <v>120</v>
      </c>
      <c r="Q5" s="18" t="inlineStr">
        <is>
          <t>CURRENT</t>
        </is>
      </c>
      <c r="R5" s="18" t="inlineStr">
        <is>
          <t>ENABLED</t>
        </is>
      </c>
      <c r="S5" s="16" t="inlineStr">
        <is>
          <t>USD</t>
        </is>
      </c>
      <c r="T5" s="19" t="n">
        <v>23760</v>
      </c>
      <c r="U5" s="19" t="inlineStr">
        <is>
          <t>UNAVAILABLE</t>
        </is>
      </c>
      <c r="V5" s="19" t="inlineStr">
        <is>
          <t>UNAVAILABLE</t>
        </is>
      </c>
      <c r="W5" s="19" t="n">
        <v>27000</v>
      </c>
      <c r="X5" s="19" t="n">
        <v>11725.1</v>
      </c>
      <c r="Y5" s="19" t="n">
        <v>38725.1</v>
      </c>
      <c r="Z5" s="18" t="inlineStr">
        <is>
          <t>SAVINGS</t>
        </is>
      </c>
      <c r="AA5" s="19" t="n">
        <v>-1827.2</v>
      </c>
      <c r="AB5" s="19" t="n">
        <v>10338.49</v>
      </c>
      <c r="AC5" s="19" t="n">
        <v>25571.95</v>
      </c>
      <c r="AD5" s="19" t="n">
        <v>13153.15</v>
      </c>
      <c r="AE5" s="19" t="n">
        <v>28386.61</v>
      </c>
      <c r="AF5" s="19" t="n">
        <v>40552.3</v>
      </c>
      <c r="AG5" s="20" t="n">
        <v>0.266971</v>
      </c>
      <c r="AH5" s="14" t="inlineStr">
        <is>
          <t>SCN-F6C96142718566E6610757F4</t>
        </is>
      </c>
      <c r="AI5" s="15" t="inlineStr">
        <is>
          <t>Plan A — Optimize current warehouse type</t>
        </is>
      </c>
      <c r="AJ5" s="16" t="inlineStr">
        <is>
          <t>IN_PLACE_OPTIMIZATION</t>
        </is>
      </c>
      <c r="AK5" s="18" t="inlineStr">
        <is>
          <t>MEDIUM</t>
        </is>
      </c>
      <c r="AL5" s="21" t="n">
        <v>0.78</v>
      </c>
      <c r="AM5" s="15" t="inlineStr">
        <is>
          <t>RUN_WAREHOUSE_SIZE_CANARY</t>
        </is>
      </c>
      <c r="AN5" s="18" t="b">
        <v>1</v>
      </c>
      <c r="AO5" s="16" t="inlineStr">
        <is>
          <t>OPTIMIZATION_AVAILABLE</t>
        </is>
      </c>
      <c r="AP5" s="16" t="inlineStr">
        <is>
          <t>SUFFICIENT</t>
        </is>
      </c>
      <c r="AQ5" s="18" t="inlineStr">
        <is>
          <t>HIGH</t>
        </is>
      </c>
      <c r="AR5" s="17" t="n">
        <v>6</v>
      </c>
      <c r="AS5" s="17" t="n">
        <v>2</v>
      </c>
      <c r="AT5" s="17" t="n">
        <v>3</v>
      </c>
      <c r="AU5" s="17" t="n">
        <v>0</v>
      </c>
      <c r="AV5" s="17" t="n">
        <v>0</v>
      </c>
      <c r="AW5" s="17" t="n">
        <v>1</v>
      </c>
      <c r="AX5" s="17" t="n">
        <v>0</v>
      </c>
      <c r="AY5" s="17" t="n">
        <v>0</v>
      </c>
      <c r="AZ5" s="16" t="inlineStr">
        <is>
          <t>Size LARGE→MEDIUM [TEST_REQUIRED] | Max 4→3 [ACTIONABLE] | Min 2→1 [TEST_REQUIRED] | Auto-stop 120→30 [ACTIONABLE] | Type PRO→SERVERLESS [TEST_REQUIRED] | Channel CURRENT [NO_CHANGE]</t>
        </is>
      </c>
      <c r="BA5" s="16" t="inlineStr">
        <is>
          <t>Plan A — Optimize current warehouse type | 1. warehouse_size LARGE→MEDIUM [READY_FOR_CANARY]; priced AUTHORITATIVE | 2. max_clusters 4→3 [PENDING_REEVALUATION]; priced CONTINGENT | 3. min_clusters 2→1 [PENDING_REEVALUATION]; priced CONTINGENT | 4. auto_stop_minutes 120→30 [PENDING_REEVALUATION]; priced CONTINGENT | 5. REMEASURE_AND_REGENERATE [REQUIRED]; remeasure 7d</t>
        </is>
      </c>
      <c r="BB5" s="22" t="inlineStr">
        <is>
          <t>{"client_applications":{"POWER_BI":{"query_count":3000},"SQL_EDITOR":{"query_count":960}},"multi_label":true,"query_sources":{"ALERT":{"query_count":0,"query_pct":0.0},"DASHBOARD":{"query_count":9000,"query_pct":75.0},"GENIE":{"query_count":0,"query_pct":0.0},"JOB":{"query_count":0,"query_pct":0.0},"NOTEBOOK":{"query_count":0,"query_pct":0.0},"SQL_EDITOR":{"query_count":960,"query_pct":8.0}},"workload_characteristics":{"activity_pattern":"CONTINUOUS","concurrency_pattern":"STEADY","latency_class":"INTERACTIVE"}}</t>
        </is>
      </c>
      <c r="BC5" s="22" t="inlineStr">
        <is>
          <t>["SCN-F6C96142718566E6610757F4","SCN-4CE208EB461A228615816740"]</t>
        </is>
      </c>
      <c r="BD5" s="22" t="inlineStr">
        <is>
          <t>["CAND-7228133F8C9DCD58D5450164","CAND-CDC9DD7E27E8CA6ED23E9CEB","CAND-4CD23256DB0CA20822638058","CAND-F7CD1FD114943EA1AAB92DF2","CAND-1EB011ABA71F8CF380C298A8","CAND-78762B303EA11AF80300E2C3"]</t>
        </is>
      </c>
      <c r="BE5" s="22" t="inlineStr">
        <is>
          <t>packages/1234567890123456__wh-synth-001.json</t>
        </is>
      </c>
      <c r="BF5" s="22" t="inlineStr">
        <is>
          <t>{"EVID-032D2043227CEDC95604F643":{"interpretation":"Compatibility check s3_access_policy_compatibility returned PASS_BY_EXISTING_SERVERLESS.","metric":"compatibility.s3_access_policy_compatibility","value":{"evidence":"UNKNOWN","status":"PASS_BY_EXISTING_SERVERLESS"}},"EVID-06FF9A63969D378F8BA1F07C":{"interpretation":"Queries that waited for compute; the wait percentile is computed over these queries only.","metric":"compute_wait_queries_30","value":8},"EVID-08FF9FEB1B0F5DD025C7139B":{"interpretation":"Coverage available for deterministic pattern checks. Raw SQL text is not exported.","metric":"statement_text_visible_pct_30","value":100.0},"EVID-0C186B67BBA35BE5E67FC5B4":{"interpretation":"Activity density selects the auto-stop target.","metric":"queries_per_active_day_30","value":400.0},"EVID-14B9E1F21FB6239C1605B425":{"interpretation":"Compatibility check workspace_serverless_observed returned PASS.","metric":"compatibility.workspace_serverless_observed","value":{"evidence":true,"status":"PASS"}},"EVID-1AD100E505AE1F8331626BFC":{"interpretation":"Databricks SQL editor/query workload mix context.","metric":"sql_editor_queries_30","value":960},"EVID-24051B9A42F0A0296E9942FB":{"interpretation":"Compatibility check external_legacy_hive_metastore_workspace_setting returned PASS.","metric":"compatibility.external_legacy_hive_metastore_workspace_setting","value":{"evidence":{"config_keys":[],"detected":false},"status":"PASS"}},"EVID-276F66B0ED2BE9C1F9FB7F7D":{"interpretation":"Dashboard workload mix context.","metric":"dashboard_queries_30","value":9000},"EVID-2AD1BDE448603EA994275416":{"interpretation":"Restart frequency guardrail.","metric":"starts_per_active_day_30","value":0.2667},"EVID-34B06F602B3B350E40C7FB2F":{"interpretation":"Sustained scale pressure blocks minimum reduction.","metric":"time_at_max_pct","value":0.0},"EVID-379FF5C04A904D87A2DE5C67":{"interpretation":"Query-tag coverage supplied to HITL for workload attribution and migration validation.","metric":"tagged_query_pct_30","value":70.0},"EVID-37B58153FD21C4097D6839AF":{"interpretation":"Forward customer AWS infrastructure cost model for the current configuration epoch; null when unavailable.","metric":"forward_aws_cost_365d","value":11725.1},"EVID-43AC520BEDF28B837AD5491F":{"interpretation":"Severity of capacity queueing at p95 among queued queries.","metric":"p95_wait_capacity_ms_when_queued_30","value":0},"EVID-4D3C96F560A56E7EC4E79822":{"interpretation":"Concurrency pressure during the decision window.","metric":"queued_query_pct_30","value":0.0},"EVID-4E2C10D0BEF65086F73BD1BB":{"interpretation":"Job workload mix context.","metric":"job_queries_30","value":0},"EVID-671AEFC2D527CBB61D748323":{"interpretation":"No-change forward DBU cost forecast anchored to the current configuration epoch.","metric":"forward_dbu_cost_365d","value":27000.0},"EVID-6A39CCAC873FB9B1E4CBD8F0":{"interpretation":"Compatibility check legacy_hive_metastore_sql_reference returned PASS_WITH_LIMITATION.","metric":"compatibility.legacy_hive_metastore_sql_reference","value":{"evidence":{"reference_queries":0,"visible_pct":100.0},"status":"PASS_WITH_LIMITATION"}},"EVID-6EA74D3474DEBD48A2D18AA3":{"interpretation":"Tail execution latency guardrail.","metric":"p95_execution_ms_30","value":2500},"EVID-6ED4860D13BF644A666A35DC":{"interpretation":"Current idle termination setting versus deterministic policy target.","metric":"auto_stop_minutes","value":120},"EVID-758B77C00654A7C0ADB79FEF":{"interpretation":"How often the warehouse sits at its minimum.","metric":"time_at_min_pct","value":80.0},"EVID-76C886F1C575094A206B1C98":{"interpretation":"Queries that queued at capacity; the wait percentile is computed over these queries only.","metric":"queued_queries_30","value":0},"EVID-816032E26FD5D0505D12B7B5":{"interpretation":"Observed trailing-365-day Databricks SQL list cost attributed to the warehouse.","metric":"actual_dbu_cost_365d","value":23760.0},"EVID-832712B10A432503BA1E0ADE":{"interpretation":"Current warehouse size.","metric":"warehouse_size","value":"LARGE"},"EVID-844D3CCD8E1426B8521EC841":{"interpretation":"I/O cache evidence for HITL context; not a v2 size decision threshold.","metric":"avg_read_io_cache_percent_30","value":35.0},"EVID-8B53A706B88503957283FBAF":{"interpretation":"Non-overlapping inter-query gap sample supporting the auto-stop counterfactual.","metric":"idle_gap_count","value":480},"EVID-8C9114054238A654DB9B7C17":{"interpretation":"Compatibility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regions.","region":"us-east-1"},"status":"PASS"}},"EVID-8D64B1C2140B8113E92CB584":{"interpretation":"Alert workload mix context.","metric":"alert_queries_30","value":0},"EVID-8FDC7E9818FEE739EB1C3E96":{"interpretation":"Calendar-day coverage available to the forward cost model.","metric":"cost_history_days","value":259},"EVID-9123C82F00FD3E06C4EC1397":{"interpretation":"Estimated additional off-time at the candidate target.","metric":"estimated_additional_off_minutes","value":7920.0},"EVID-9475F7B85538B16451EA1C33":{"interpretation":"Configured concurrency ceiling.","metric":"max_clusters","value":4},"EVID-9CDDE8E0C8CE33998BB2989D":{"interpretation":"Frequency of capacity queueing.","metric":"queued_query_pct_30","value":0.0},"EVID-A1C75CA0E3C954E8451A24A9":{"interpretation":"Fraction of running time at configured maximum.","metric":"time_at_max_pct","value":0.0},"EVID-A8636AD7291DF641B4479F73":{"interpretation":"Frequency of queries spilling to local storage.","metric":"spill_query_pct_30","value":0.0},"EVID-A86EAA13EE5082AEC4DF0A44":{"interpretation":"Extreme tail execution latency guardrail.","metric":"p99_execution_ms_30","value":10000},"EVID-B2362D5F32380977A933F401":{"interpretation":"Queries that spilled; the spill severity percentile is computed over these queries only.","metric":"spill_queries_30","value":0},"EVID-B2F3556302DC172A975B5E1D":{"interpretation":"Configured minimum scale.","metric":"min_clusters","value":2},"EVID-B907494F116961DE176B0D84":{"interpretation":"Observed billing evidence; not used as current configuration source.","metric":"serverless_usage_pct_365","value":0.0},"EVID-B97068E09275EE196C280B20":{"interpretation":"Queue latency guardrail among queued queries.","metric":"p95_wait_capacity_ms_when_queued_30","value":0},"EVID-C257109E096D0ECC02DBF878":{"interpretation":"Power BI client workload mix context.","metric":"power_bi_queries_30","value":3000},"EVID-CB69D69A29C6EA7DB46849D4":{"interpretation":"Compatibility check workspace_serverless_enablement returned PASS.","metric":"compatibility.workspace_serverless_enablement","value":{"evidence":true,"status":"PASS"}},"EVID-CD8BAC81B5726CC8B4111349":{"interpretation":"Current release channel from the current configuration epoch.","metric":"warehouse_channel","value":"CURRENT"},"EVID-CEBECE0D400BCC63E7372BA4":{"interpretation":"Potential migration-review signal only; this does not prove an external legacy Hive metastore is configured.","metric":"hive_metastore_reference_queries_30","value":0},"EVID-D0979C303C3ECC7B43215C4E":{"interpretation":"Genie workload mix context.","metric":"genie_queries_30","value":0},"EVID-D6A8913E1EEDE597C6DE13D7":{"interpretation":"Cold-start sensitivity guardrail at p95 among queries that waited for compute.","metric":"p95_wait_compute_ms_when_waited_30","value":3500},"EVID-D6C1A66CD6414FC0530CD64D":{"interpretation":"Current warehouse type.","metric":"warehouse_type","value":"PRO"},"EVID-E64F7F42523DB02D3B0CFEAB":{"interpretation":"Queue guardrail before reducing baseline capacity.","metric":"queued_query_pct_30","value":0.0},"EVID-F070BBED6A139F6AC2DDC3AB":{"interpretation":"Notebook workload mix context.","metric":"notebook_queries_30","value":0},"EVID-F321D01534023722070D55FC":{"interpretation":"Tableau client workload mix context.","metric":"tableau_queries_30","value":0},"EVID-F3407AFA2008FBBDD9A22AB0":{"interpretation":"Observed resource-time basis used to convert idle time into cost effect.","metric":"cluster_minutes","value":40000.0},"EVID-FBF33D9F734E4A15AC59AA04":{"interpretation":"Highest observed scale level.","metric":"max_observed_clusters","value":2},"EVID-FDBFFBC774D23EA471B31E96":{"interpretation":"Severity of spill at p95 among queries that spilled.","metric":"p95_spill_bytes_when_spilled_30","value":0}}</t>
        </is>
      </c>
    </row>
    <row r="6" ht="24" customHeight="1">
      <c r="A6" s="14" t="inlineStr">
        <is>
          <t>PKG-3542FB38D0CE64996A1D7C9D</t>
        </is>
      </c>
      <c r="B6" s="14" t="inlineStr">
        <is>
          <t>1234567890123456</t>
        </is>
      </c>
      <c r="C6" s="14" t="inlineStr">
        <is>
          <t>wh-synth-004</t>
        </is>
      </c>
      <c r="D6" s="15" t="inlineStr">
        <is>
          <t>ETL Heavy</t>
        </is>
      </c>
      <c r="E6" s="16" t="inlineStr">
        <is>
          <t>data-engineering@databricks.example</t>
        </is>
      </c>
      <c r="F6" s="16" t="inlineStr">
        <is>
          <t>us-east-1</t>
        </is>
      </c>
      <c r="G6" s="14" t="inlineStr">
        <is>
          <t>EPOCH-E7355ACCBEF3E7B7DDB87EDA</t>
        </is>
      </c>
      <c r="H6" s="17" t="n">
        <v>264</v>
      </c>
      <c r="I6" s="16" t="inlineStr">
        <is>
          <t>JOB</t>
        </is>
      </c>
      <c r="J6" s="17" t="n">
        <v>6500</v>
      </c>
      <c r="K6" s="17" t="n">
        <v>30</v>
      </c>
      <c r="L6" s="18" t="inlineStr">
        <is>
          <t>PRO</t>
        </is>
      </c>
      <c r="M6" s="18" t="inlineStr">
        <is>
          <t>X_LARGE</t>
        </is>
      </c>
      <c r="N6" s="17" t="n">
        <v>2</v>
      </c>
      <c r="O6" s="17" t="n">
        <v>8</v>
      </c>
      <c r="P6" s="17" t="n">
        <v>60</v>
      </c>
      <c r="Q6" s="18" t="inlineStr">
        <is>
          <t>CURRENT</t>
        </is>
      </c>
      <c r="R6" s="18" t="inlineStr">
        <is>
          <t>ENABLED</t>
        </is>
      </c>
      <c r="S6" s="16" t="inlineStr">
        <is>
          <t>USD</t>
        </is>
      </c>
      <c r="T6" s="19" t="n">
        <v>56320</v>
      </c>
      <c r="U6" s="19" t="inlineStr">
        <is>
          <t>UNAVAILABLE</t>
        </is>
      </c>
      <c r="V6" s="19" t="inlineStr">
        <is>
          <t>UNAVAILABLE</t>
        </is>
      </c>
      <c r="W6" s="19" t="n">
        <v>64000</v>
      </c>
      <c r="X6" s="19" t="n">
        <v>74769.7</v>
      </c>
      <c r="Y6" s="19" t="n">
        <v>138769.7</v>
      </c>
      <c r="Z6" s="18" t="inlineStr">
        <is>
          <t>COST_INCREASE</t>
        </is>
      </c>
      <c r="AA6" s="19" t="n">
        <v>-123815.76</v>
      </c>
      <c r="AB6" s="19" t="n">
        <v>-45040.12</v>
      </c>
      <c r="AC6" s="19" t="n">
        <v>112961.62</v>
      </c>
      <c r="AD6" s="19" t="n">
        <v>25808.08</v>
      </c>
      <c r="AE6" s="19" t="n">
        <v>183809.82</v>
      </c>
      <c r="AF6" s="19" t="n">
        <v>262585.46</v>
      </c>
      <c r="AG6" s="20" t="n">
        <v>-0.324567</v>
      </c>
      <c r="AH6" s="14" t="inlineStr">
        <is>
          <t>SCN-CB5E8798D5A13F523639541D</t>
        </is>
      </c>
      <c r="AI6" s="15" t="inlineStr">
        <is>
          <t>Plan A — Optimize current warehouse type</t>
        </is>
      </c>
      <c r="AJ6" s="16" t="inlineStr">
        <is>
          <t>IN_PLACE_OPTIMIZATION</t>
        </is>
      </c>
      <c r="AK6" s="18" t="inlineStr">
        <is>
          <t>HIGH</t>
        </is>
      </c>
      <c r="AL6" s="21" t="n">
        <v>0.93</v>
      </c>
      <c r="AM6" s="15" t="inlineStr">
        <is>
          <t>REVIEW_AND_EXECUTE_FIRST_READY_STEP</t>
        </is>
      </c>
      <c r="AN6" s="18" t="b">
        <v>1</v>
      </c>
      <c r="AO6" s="16" t="inlineStr">
        <is>
          <t>OPTIMIZATION_AVAILABLE</t>
        </is>
      </c>
      <c r="AP6" s="16" t="inlineStr">
        <is>
          <t>SUFFICIENT</t>
        </is>
      </c>
      <c r="AQ6" s="18" t="inlineStr">
        <is>
          <t>HIGH</t>
        </is>
      </c>
      <c r="AR6" s="17" t="n">
        <v>6</v>
      </c>
      <c r="AS6" s="17" t="n">
        <v>2</v>
      </c>
      <c r="AT6" s="17" t="n">
        <v>1</v>
      </c>
      <c r="AU6" s="17" t="n">
        <v>0</v>
      </c>
      <c r="AV6" s="17" t="n">
        <v>0</v>
      </c>
      <c r="AW6" s="17" t="n">
        <v>3</v>
      </c>
      <c r="AX6" s="17" t="n">
        <v>0</v>
      </c>
      <c r="AY6" s="17" t="n">
        <v>0</v>
      </c>
      <c r="AZ6" s="16" t="inlineStr">
        <is>
          <t>Size X_LARGE→2X_LARGE [ACTIONABLE] | Max 8 [NO_CHANGE] | Min 2 [NO_CHANGE] | Auto-stop 60→30 [ACTIONABLE] | Type PRO→SERVERLESS [TEST_REQUIRED] | Channel CURRENT [NO_CHANGE]</t>
        </is>
      </c>
      <c r="BA6" s="16" t="inlineStr">
        <is>
          <t>Plan A — Optimize current warehouse type | 1. warehouse_size X_LARGE→2X_LARGE [READY]; priced AUTHORITATIVE | 2. auto_stop_minutes 60→30 [PENDING_REEVALUATION]; priced CONTINGENT | 3. REMEASURE_AND_REGENERATE [REQUIRED]; remeasure 7d</t>
        </is>
      </c>
      <c r="BB6" s="22" t="inlineStr">
        <is>
          <t>{"client_applications":{"SQL_EDITOR":{"query_count":520}},"multi_label":true,"query_sources":{"ALERT":{"query_count":0,"query_pct":0.0},"DASHBOARD":{"query_count":0,"query_pct":0.0},"GENIE":{"query_count":0,"query_pct":0.0},"JOB":{"query_count":4875,"query_pct":75.0},"NOTEBOOK":{"query_count":0,"query_pct":0.0},"SQL_EDITOR":{"query_count":520,"query_pct":8.0}},"workload_characteristics":{"activity_pattern":"CONTINUOUS","concurrency_pattern":"MIXED","latency_class":"MIXED"}}</t>
        </is>
      </c>
      <c r="BC6" s="22" t="inlineStr">
        <is>
          <t>["SCN-CB5E8798D5A13F523639541D","SCN-AF126D31FABFB5905E6640A4"]</t>
        </is>
      </c>
      <c r="BD6" s="22" t="inlineStr">
        <is>
          <t>["CAND-BB5D8BD2733924BAA2A2BB82","CAND-F6DA76343C4F0EEC6747DD79","CAND-19E6151216E0827A2A6FA085","CAND-CF1FEEFF3DB94CBE4A3A7DCC","CAND-A122082B3BB2FB0568C91BF4","CAND-335D8BD4AAC3CB041A5DB0CB"]</t>
        </is>
      </c>
      <c r="BE6" s="22" t="inlineStr">
        <is>
          <t>packages/1234567890123456__wh-synth-004.json</t>
        </is>
      </c>
      <c r="BF6" s="22" t="inlineStr">
        <is>
          <t>{"EVID-008E22AC1569A178FD5BB0BB":{"interpretation":"Configured minimum scale.","metric":"min_clusters","value":2},"EVID-011A7F44ED59741E3113CF84":{"interpretation":"Frequency of capacity queueing.","metric":"queued_query_pct_30","value":0.8},"EVID-023EC964F3B265506A960264":{"interpretation":"Alert workload mix context.","metric":"alert_queries_30","value":0},"EVID-0A7D5DF3B5E2F45BE27DFD19":{"interpretation":"Queries that spilled; the spill severity percentile is computed over these queries only.","metric":"spill_queries_30","value":422},"EVID-10635B972051ED8C2A7BEF9D":{"interpretation":"Calendar-day coverage available to the forward cost model.","metric":"cost_history_days","value":264},"EVID-11111D2C5475DC38E61DFA06":{"interpretation":"Observed resource-time basis used to convert idle time into cost effect.","metric":"cluster_minutes","value":130000.0},"EVID-2DB66798C05363656D798225":{"interpretation":"Configured concurrency ceiling.","metric":"max_clusters","value":8},"EVID-2E3E084CE9E030F23CDF5C69":{"interpretation":"Compatibility check workspace_serverless_enablement returned PASS.","metric":"compatibility.workspace_serverless_enablement","value":{"evidence":true,"status":"PASS"}},"EVID-31544533FEDFC669EB9E511D":{"interpretation":"No-change forward DBU cost forecast anchored to the current configuration epoch.","metric":"forward_dbu_cost_365d","value":64000.0},"EVID-3476CE9B58C832413C9CDD86":{"interpretation":"Potential migration-review signal only; this does not prove an external legacy Hive metastore is configured.","metric":"hive_metastore_reference_queries_30","value":0},"EVID-3C8A3CCC5CABDA8C40603603":{"interpretation":"Compatibility check external_legacy_hive_metastore_workspace_setting returned PASS.","metric":"compatibility.external_legacy_hive_metastore_workspace_setting","value":{"evidence":{"config_keys":[],"detected":false},"status":"PASS"}},"EVID-42CBBF164E0D9C6045421154":{"interpretation":"Notebook workload mix context.","metric":"notebook_queries_30","value":0},"EVID-44DE1AAFD8BD8101A789E6D3":{"interpretation":"Compatibility check legacy_hive_metastore_sql_reference returned PASS_WITH_LIMITATION.","metric":"compatibility.legacy_hive_metastore_sql_reference","value":{"evidence":{"reference_queries":0,"visible_pct":100.0},"status":"PASS_WITH_LIMITATION"}},"EVID-4732E4D4468FD04336EAA389":{"interpretation":"Queue latency guardrail among queued queries.","metric":"p95_wait_capacity_ms_when_queued_30","value":5000},"EVID-47D3DCEFC38B6037DA2C3C66":{"interpretation":"Current release channel from the current configuration epoch.","metric":"warehouse_channel","value":"CURRENT"},"EVID-4AA93F65650373D3FBE29C04":{"interpretation":"Restart frequency guardrail.","metric":"starts_per_active_day_30","value":0.1667},"EVID-4ABB2B728EAFAC6FBE30DB98":{"interpretation":"Job workload mix context.","metric":"job_queries_30","value":4875},"EVID-54D50055FE0A3E96237477FE":{"interpretation":"Compatibility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regions.","region":"us-east-1"},"status":"PASS"}},"EVID-5975B1FAAF8D55B8BE39B16A":{"interpretation":"Estimated additional off-time at the candidate target.","metric":"estimated_additional_off_minutes","value":3600.0},"EVID-5DF889A28B3C24819F832003":{"interpretation":"Queue guardrail before reducing baseline capacity.","metric":"queued_query_pct_30","value":0.8},"EVID-5E15646755CA81DC480F12E3":{"interpretation":"Current idle termination setting versus deterministic policy target.","metric":"auto_stop_minutes","value":60},"EVID-60346EE4CD6A756F88C9A889":{"interpretation":"Forward customer AWS infrastructure cost model for the current configuration epoch; null when unavailable.","metric":"forward_aws_cost_365d","value":74769.7},"EVID-61A44CDFF8B383C5ABB509D9":{"interpretation":"I/O cache evidence for HITL context; not a v2 size decision threshold.","metric":"avg_read_io_cache_percent_30","value":35.0},"EVID-6E6FA15129845B3E6AA53F0D":{"interpretation":"Observed billing evidence; not used as current configuration source.","metric":"serverless_usage_pct_365","value":0.0},"EVID-823A180D36962C7150FEB320":{"interpretation":"Observed trailing-365-day Databricks SQL list cost attributed to the warehouse.","metric":"actual_dbu_cost_365d","value":56320.0},"EVID-8686A768FBB341A60EA85745":{"interpretation":"Current warehouse size.","metric":"warehouse_size","value":"X_LARGE"},"EVID-878FBB5F95499DF6B2898334":{"interpretation":"Queries that waited for compute; the wait percentile is computed over these queries only.","metric":"compute_wait_queries_30","value":5},"EVID-88AEFDEA380CDAD006F80001":{"interpretation":"Frequency of queries spilling to local storage.","metric":"spill_query_pct_30","value":6.5},"EVID-9DEB51B75BB99243343010BD":{"interpretation":"Coverage available for deterministic pattern checks. Raw SQL text is not exported.","metric":"statement_text_visible_pct_30","value":100.0},"EVID-9FFE6B7A17D42D283F900800":{"interpretation":"Extreme tail execution latency guardrail.","metric":"p99_execution_ms_30","value":48000},"EVID-ADB79C6C27705809054C828E":{"interpretation":"Non-overlapping inter-query gap sample supporting the auto-stop counterfactual.","metric":"idle_gap_count","value":260},"EVID-B0B89C04931F9EF778B52C38":{"interpretation":"Current warehouse type.","metric":"warehouse_type","value":"PRO"},"EVID-B6644BF4C662B07A42FBCE9B":{"interpretation":"How often the warehouse sits at its minimum.","metric":"time_at_min_pct","value":25.0},"EVID-BA1E532B2C41577B6EE086D9":{"interpretation":"Queries that queued at capacity; the wait percentile is computed over these queries only.","metric":"queued_queries_30","value":52},"EVID-BB7DFD2862AB2ADD1FA0CF31":{"interpretation":"Severity of spill at p95 among queries that spilled.","metric":"p95_spill_bytes_when_spilled_30","value":3221225472},"EVID-C01955F26C5D765DE5852F5C":{"interpretation":"Query-tag coverage supplied to HITL for workload attribution and migration validation.","metric":"tagged_query_pct_30","value":70.0},"EVID-C5492D968DBE0CBA760D384E":{"interpretation":"Power BI client workload mix context.","metric":"power_bi_queries_30","value":0},"EVID-D1E857F4F27E1D721E697232":{"interpretation":"Compatibility check s3_access_policy_compatibility returned PASS_BY_EXISTING_SERVERLESS.","metric":"compatibility.s3_access_policy_compatibility","value":{"evidence":"UNKNOWN","status":"PASS_BY_EXISTING_SERVERLESS"}},"EVID-D20432463AC399D3560B9BC0":{"interpretation":"Dashboard workload mix context.","metric":"dashboard_queries_30","value":0},"EVID-D875C0624A470AC0E77CBF38":{"interpretation":"Sustained scale pressure blocks minimum reduction.","metric":"time_at_max_pct","value":12.0},"EVID-DA03D70120DE2B052CB67DE3":{"interpretation":"Activity density selects the auto-stop target.","metric":"queries_per_active_day_30","value":216.67},"EVID-DD1C35D1D57DDC4796710BDC":{"interpretation":"Tableau client workload mix context.","metric":"tableau_queries_30","value":0},"EVID-DEFA78DE669DA4D64347ED77":{"interpretation":"Fraction of running time at configured maximum.","metric":"time_at_max_pct","value":12.0},"EVID-E237AFE39A08B3673A0DF2DC":{"interpretation":"Severity of capacity queueing at p95 among queued queries.","metric":"p95_wait_capacity_ms_when_queued_30","value":5000},"EVID-E6918924A28E2011799B7FCB":{"interpretation":"Highest observed scale level.","metric":"max_observed_clusters","value":7},"EVID-E76BD458403FECA264E0C895":{"interpretation":"Databricks SQL editor/query workload mix context.","metric":"sql_editor_queries_30","value":520},"EVID-EA733691C9BFE7B18FA8EE7E":{"interpretation":"Concurrency pressure during the decision window.","metric":"queued_query_pct_30","value":0.8},"EVID-F596821EABB66977C5570861":{"interpretation":"Compatibility check workspace_serverless_observed returned PASS.","metric":"compatibility.workspace_serverless_observed","value":{"evidence":true,"status":"PASS"}},"EVID-F606E713FACB0671C4DF6405":{"interpretation":"Cold-start sensitivity guardrail at p95 among queries that waited for compute.","metric":"p95_wait_compute_ms_when_waited_30","value":3500},"EVID-F96600E8808D60DFD7238304":{"interpretation":"Tail execution latency guardrail.","metric":"p95_execution_ms_30","value":14000},"EVID-FEE2FD24549E680CEC9BF082":{"interpretation":"Genie workload mix context.","metric":"genie_queries_30","value":0}}</t>
        </is>
      </c>
    </row>
    <row r="7" ht="24" customHeight="1">
      <c r="A7" s="14" t="inlineStr">
        <is>
          <t>PKG-C269EAEEE79C014B6AC9A50D</t>
        </is>
      </c>
      <c r="B7" s="14" t="inlineStr">
        <is>
          <t>1234567890123456</t>
        </is>
      </c>
      <c r="C7" s="14" t="inlineStr">
        <is>
          <t>wh-synth-006</t>
        </is>
      </c>
      <c r="D7" s="15" t="inlineStr">
        <is>
          <t>Executive Dashboards</t>
        </is>
      </c>
      <c r="E7" s="16" t="inlineStr">
        <is>
          <t>exec-analytics@databricks.example</t>
        </is>
      </c>
      <c r="F7" s="16" t="inlineStr">
        <is>
          <t>us-east-1</t>
        </is>
      </c>
      <c r="G7" s="14" t="inlineStr">
        <is>
          <t>EPOCH-CE0E206F4992054FD317289A</t>
        </is>
      </c>
      <c r="H7" s="17" t="n">
        <v>214</v>
      </c>
      <c r="I7" s="16" t="inlineStr">
        <is>
          <t>DASHBOARD</t>
        </is>
      </c>
      <c r="J7" s="17" t="n">
        <v>15000</v>
      </c>
      <c r="K7" s="17" t="n">
        <v>30</v>
      </c>
      <c r="L7" s="18" t="inlineStr">
        <is>
          <t>PRO</t>
        </is>
      </c>
      <c r="M7" s="18" t="inlineStr">
        <is>
          <t>LARGE</t>
        </is>
      </c>
      <c r="N7" s="17" t="n">
        <v>3</v>
      </c>
      <c r="O7" s="17" t="n">
        <v>6</v>
      </c>
      <c r="P7" s="17" t="n">
        <v>120</v>
      </c>
      <c r="Q7" s="18" t="inlineStr">
        <is>
          <t>CURRENT</t>
        </is>
      </c>
      <c r="R7" s="18" t="inlineStr">
        <is>
          <t>ENABLED</t>
        </is>
      </c>
      <c r="S7" s="16" t="inlineStr">
        <is>
          <t>USD</t>
        </is>
      </c>
      <c r="T7" s="19" t="n">
        <v>42240</v>
      </c>
      <c r="U7" s="19" t="inlineStr">
        <is>
          <t>UNAVAILABLE</t>
        </is>
      </c>
      <c r="V7" s="19" t="inlineStr">
        <is>
          <t>UNAVAILABLE</t>
        </is>
      </c>
      <c r="W7" s="19" t="n">
        <v>48000</v>
      </c>
      <c r="X7" s="19" t="n">
        <v>21285.98</v>
      </c>
      <c r="Y7" s="19" t="n">
        <v>69285.98</v>
      </c>
      <c r="Z7" s="18" t="inlineStr">
        <is>
          <t>SAVINGS</t>
        </is>
      </c>
      <c r="AA7" s="19" t="n">
        <v>-3071.82</v>
      </c>
      <c r="AB7" s="19" t="n">
        <v>18635.53</v>
      </c>
      <c r="AC7" s="19" t="n">
        <v>53366.98</v>
      </c>
      <c r="AD7" s="19" t="n">
        <v>15919</v>
      </c>
      <c r="AE7" s="19" t="n">
        <v>50650.45</v>
      </c>
      <c r="AF7" s="19" t="n">
        <v>72357.8</v>
      </c>
      <c r="AG7" s="20" t="n">
        <v>0.268965</v>
      </c>
      <c r="AH7" s="14" t="inlineStr">
        <is>
          <t>SCN-CE4B0C3CDE2534722A4AAADE</t>
        </is>
      </c>
      <c r="AI7" s="15" t="inlineStr">
        <is>
          <t>Plan A — Optimize current warehouse type</t>
        </is>
      </c>
      <c r="AJ7" s="16" t="inlineStr">
        <is>
          <t>IN_PLACE_OPTIMIZATION</t>
        </is>
      </c>
      <c r="AK7" s="18" t="inlineStr">
        <is>
          <t>MEDIUM</t>
        </is>
      </c>
      <c r="AL7" s="21" t="n">
        <v>0.78</v>
      </c>
      <c r="AM7" s="15" t="inlineStr">
        <is>
          <t>RUN_WAREHOUSE_SIZE_CANARY</t>
        </is>
      </c>
      <c r="AN7" s="18" t="b">
        <v>1</v>
      </c>
      <c r="AO7" s="16" t="inlineStr">
        <is>
          <t>OPTIMIZATION_AVAILABLE</t>
        </is>
      </c>
      <c r="AP7" s="16" t="inlineStr">
        <is>
          <t>SUFFICIENT</t>
        </is>
      </c>
      <c r="AQ7" s="18" t="inlineStr">
        <is>
          <t>HIGH</t>
        </is>
      </c>
      <c r="AR7" s="17" t="n">
        <v>6</v>
      </c>
      <c r="AS7" s="17" t="n">
        <v>2</v>
      </c>
      <c r="AT7" s="17" t="n">
        <v>3</v>
      </c>
      <c r="AU7" s="17" t="n">
        <v>0</v>
      </c>
      <c r="AV7" s="17" t="n">
        <v>0</v>
      </c>
      <c r="AW7" s="17" t="n">
        <v>1</v>
      </c>
      <c r="AX7" s="17" t="n">
        <v>0</v>
      </c>
      <c r="AY7" s="17" t="n">
        <v>0</v>
      </c>
      <c r="AZ7" s="16" t="inlineStr">
        <is>
          <t>Size LARGE→MEDIUM [TEST_REQUIRED] | Max 6→4 [ACTIONABLE] | Min 3→2 [TEST_REQUIRED] | Auto-stop 120→45 [ACTIONABLE] | Type PRO→SERVERLESS [TEST_REQUIRED] | Channel CURRENT [NO_CHANGE]</t>
        </is>
      </c>
      <c r="BA7" s="16" t="inlineStr">
        <is>
          <t>Plan A — Optimize current warehouse type | 1. warehouse_size LARGE→MEDIUM [READY_FOR_CANARY]; priced AUTHORITATIVE | 2. max_clusters 6→4 [PENDING_REEVALUATION]; priced CONTINGENT | 3. min_clusters 3→2 [PENDING_REEVALUATION]; priced CONTINGENT | 4. auto_stop_minutes 120→45 [PENDING_REEVALUATION]; priced CONTINGENT | 5. REMEASURE_AND_REGENERATE [REQUIRED]; remeasure 7d</t>
        </is>
      </c>
      <c r="BB7" s="22" t="inlineStr">
        <is>
          <t>{"client_applications":{"POWER_BI":{"query_count":3750},"SQL_EDITOR":{"query_count":1200}},"multi_label":true,"query_sources":{"ALERT":{"query_count":0,"query_pct":0.0},"DASHBOARD":{"query_count":11250,"query_pct":75.0},"GENIE":{"query_count":0,"query_pct":0.0},"JOB":{"query_count":0,"query_pct":0.0},"NOTEBOOK":{"query_count":0,"query_pct":0.0},"SQL_EDITOR":{"query_count":1200,"query_pct":8.0}},"workload_characteristics":{"activity_pattern":"CONTINUOUS","concurrency_pattern":"STEADY","latency_class":"INTERACTIVE"}}</t>
        </is>
      </c>
      <c r="BC7" s="22" t="inlineStr">
        <is>
          <t>["SCN-CE4B0C3CDE2534722A4AAADE","SCN-68F9545F52E814CE6E2CDC73"]</t>
        </is>
      </c>
      <c r="BD7" s="22" t="inlineStr">
        <is>
          <t>["CAND-B2CDD1956666E75CF94834A6","CAND-C86EF28A42FC56DB5AD00959","CAND-0B0E829222AD5BA2CA4E7612","CAND-E2B81BBFEB2D221645C6CC57","CAND-028FA513EA788FFB1FAADF4E","CAND-B994ABE33118C0EA458EFC1D"]</t>
        </is>
      </c>
      <c r="BE7" s="22" t="inlineStr">
        <is>
          <t>packages/1234567890123456__wh-synth-006.json</t>
        </is>
      </c>
      <c r="BF7" s="22" t="inlineStr">
        <is>
          <t>{"EVID-069E575F07ED5D3F026FFD84":{"interpretation":"Sustained scale pressure blocks minimum reduction.","metric":"time_at_max_pct","value":0.0},"EVID-07855EEDB66F6649A9D64E54":{"interpretation":"Queries that queued at capacity; the wait percentile is computed over these queries only.","metric":"queued_queries_30","value":0},"EVID-1614F9F08839318F3E399E84":{"interpretation":"Extreme tail execution latency guardrail.","metric":"p99_execution_ms_30","value":6500},"EVID-1805CF7D4543EFA78447DECE":{"interpretation":"Observed resource-time basis used to convert idle time into cost effect.","metric":"cluster_minutes","value":60000.0},"EVID-1A6A8DE3CE8B9EC7EB08FD23":{"interpretation":"Tableau client workload mix context.","metric":"tableau_queries_30","value":0},"EVID-1D3DC4ADB1D13DC74AC5E8BA":{"interpretation":"Severity of spill at p95 among queries that spilled.","metric":"p95_spill_bytes_when_spilled_30","value":0},"EVID-1E19B5180CDF11B79E5F6827":{"interpretation":"Current release channel from the current configuration epoch.","metric":"warehouse_channel","value":"CURRENT"},"EVID-256B2F425547D69D3B72A3A1":{"interpretation":"Query-tag coverage supplied to HITL for workload attribution and migration validation.","metric":"tagged_query_pct_30","value":70.0},"EVID-2774AF84EAE8D6AA54B380CA":{"interpretation":"Calendar-day coverage available to the forward cost model.","metric":"cost_history_days","value":214},"EVID-3301D8D217A4AF84708C338B":{"interpretation":"Restart frequency guardrail.","metric":"starts_per_active_day_30","value":0.2},"EVID-35340FC00083C675D1843DD6":{"interpretation":"Compatibility check workspace_serverless_observed returned PASS.","metric":"compatibility.workspace_serverless_observed","value":{"evidence":true,"status":"PASS"}},"EVID-3574F2628778A67585EA0BA6":{"interpretation":"Non-overlapping inter-query gap sample supporting the auto-stop counterfactual.","metric":"idle_gap_count","value":600},"EVID-3DE1D1B65EC8D6C5C825F4CD":{"interpretation":"No-change forward DBU cost forecast anchored to the current configuration epoch.","metric":"forward_dbu_cost_365d","value":48000.0},"EVID-3E447650DBBC19DE5DC50006":{"interpretation":"Configured minimum scale.","metric":"min_clusters","value":3},"EVID-41B376CD33B233A60C984B5E":{"interpretation":"How often the warehouse sits at its minimum.","metric":"time_at_min_pct","value":88.0},"EVID-441757A3E1AFD5C28DD3B5A6":{"interpretation":"Compatibility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regions.","region":"us-east-1"},"status":"PASS"}},"EVID-4B10F42F3076E3A2C99D1E07":{"interpretation":"Activity density selects the auto-stop target.","metric":"queries_per_active_day_30","value":500.0},"EVID-5081D66C44958CDE25B84E14":{"interpretation":"Databricks SQL editor/query workload mix context.","metric":"sql_editor_queries_30","value":1200},"EVID-5257C5DF3373073974DA58CB":{"interpretation":"Job workload mix context.","metric":"job_queries_30","value":0},"EVID-5377620EA4B90F62C3412859":{"interpretation":"Concurrency pressure during the decision window.","metric":"queued_query_pct_30","value":0.0},"EVID-5B97CD1773C12505CBA9E9E0":{"interpretation":"Alert workload mix context.","metric":"alert_queries_30","value":0},"EVID-5F24A6CA88EA07B7E10EA266":{"interpretation":"Queue latency guardrail among queued queries.","metric":"p95_wait_capacity_ms_when_queued_30","value":0},"EVID-686136A0CB3D558076E8814F":{"interpretation":"Current idle termination setting versus deterministic policy target.","metric":"auto_stop_minutes","value":120},"EVID-6D282145D7EDDBB713F4D360":{"interpretation":"Severity of capacity queueing at p95 among queued queries.","metric":"p95_wait_capacity_ms_when_queued_30","value":0},"EVID-6EF3D166591630B3C50D2BE2":{"interpretation":"Cold-start sensitivity guardrail at p95 among queries that waited for compute.","metric":"p95_wait_compute_ms_when_waited_30","value":3500},"EVID-75681E00F1AFFAE2ED2A7EE6":{"interpretation":"Queries that spilled; the spill severity percentile is computed over these queries only.","metric":"spill_queries_30","value":0},"EVID-7DE4C6A55F99666E0EA5E572":{"interpretation":"Frequency of queries spilling to local storage.","metric":"spill_query_pct_30","value":0.0},"EVID-7EE079F6E39AE969EB70AD13":{"interpretation":"Current warehouse size.","metric":"warehouse_size","value":"LARGE"},"EVID-8709603247A35A8909AA6811":{"interpretation":"Queries that waited for compute; the wait percentile is computed over these queries only.","metric":"compute_wait_queries_30","value":6},"EVID-895BAEEB75D06CB18730FA3E":{"interpretation":"Tail execution latency guardrail.","metric":"p95_execution_ms_30","value":1900},"EVID-972F35B29D44CBCD58534B38":{"interpretation":"Compatibility check workspace_serverless_enablement returned PASS.","metric":"compatibility.workspace_serverless_enablement","value":{"evidence":true,"status":"PASS"}},"EVID-990E7C65C9A55CFB360EA05A":{"interpretation":"Observed trailing-365-day Databricks SQL list cost attributed to the warehouse.","metric":"actual_dbu_cost_365d","value":42240.0},"EVID-A03A50B0A17A58F8B66899A5":{"interpretation":"Power BI client workload mix context.","metric":"power_bi_queries_30","value":3750},"EVID-A1A5198F8F5C91C64ADA9CB8":{"interpretation":"Configured concurrency ceiling.","metric":"max_clusters","value":6},"EVID-A5222E97CA81F6CAE91BF10A":{"interpretation":"Forward customer AWS infrastructure cost model for the current configuration epoch; null when unavailable.","metric":"forward_aws_cost_365d","value":21285.98},"EVID-A79643C41CABC592572377D2":{"interpretation":"Current warehouse type.","metric":"warehouse_type","value":"PRO"},"EVID-AAE9AAC833B24F5DAC8690C9":{"interpretation":"Frequency of capacity queueing.","metric":"queued_query_pct_30","value":0.0},"EVID-B10D381B0DF19402AF720873":{"interpretation":"I/O cache evidence for HITL context; not a v2 size decision threshold.","metric":"avg_read_io_cache_percent_30","value":35.0},"EVID-B3A1C76A1256AB7EA8739C31":{"interpretation":"Observed billing evidence; not used as current configuration source.","metric":"serverless_usage_pct_365","value":0.0},"EVID-C20E3596861AD2FFE5AC3C02":{"interpretation":"Estimated additional off-time at the candidate target.","metric":"estimated_additional_off_minutes","value":5500.0},"EVID-CC00770AFFDC1E9E926E98F8":{"interpretation":"Potential migration-review signal only; this does not prove an external legacy Hive metastore is configured.","metric":"hive_metastore_reference_queries_30","value":0},"EVID-DC8E2B483D3DE477A9E63AD2":{"interpretation":"Compatibility check legacy_hive_metastore_sql_reference returned PASS_WITH_LIMITATION.","metric":"compatibility.legacy_hive_metastore_sql_reference","value":{"evidence":{"reference_queries":0,"visible_pct":100.0},"status":"PASS_WITH_LIMITATION"}},"EVID-E0B79AC286DD69D55BD4D1D0":{"interpretation":"Queue guardrail before reducing baseline capacity.","metric":"queued_query_pct_30","value":0.0},"EVID-E1C905461AC9721CD8B685A6":{"interpretation":"Coverage available for deterministic pattern checks. Raw SQL text is not exported.","metric":"statement_text_visible_pct_30","value":100.0},"EVID-E6596ABFC4A7555BB31D7835":{"interpretation":"Notebook workload mix context.","metric":"notebook_queries_30","value":0},"EVID-E845955777C16A5CC8D7B84C":{"interpretation":"Compatibility check external_legacy_hive_metastore_workspace_setting returned PASS.","metric":"compatibility.external_legacy_hive_metastore_workspace_setting","value":{"evidence":{"config_keys":[],"detected":false},"status":"PASS"}},"EVID-EAFB05CA0AE5AFF8B3549A43":{"interpretation":"Highest observed scale level.","metric":"max_observed_clusters","value":3},"EVID-F27A7E33A3F59F365A5F2A13":{"interpretation":"Dashboard workload mix context.","metric":"dashboard_queries_30","value":11250},"EVID-F716D2784AE7839470A5204E":{"interpretation":"Compatibility check s3_access_policy_compatibility returned PASS_BY_EXISTING_SERVERLESS.","metric":"compatibility.s3_access_policy_compatibility","value":{"evidence":"UNKNOWN","status":"PASS_BY_EXISTING_SERVERLESS"}},"EVID-F9172897F8EA5E1460F7AED3":{"interpretation":"Genie workload mix context.","metric":"genie_queries_30","value":0},"EVID-FDB65766E0DDA49AC4DD5518":{"interpretation":"Fraction of running time at configured maximum.","metric":"time_at_max_pct","value":0.0}}</t>
        </is>
      </c>
    </row>
    <row r="8" ht="24" customHeight="1">
      <c r="A8" s="14" t="inlineStr">
        <is>
          <t>PKG-CC33BDB742BBCA3EB867C0A2</t>
        </is>
      </c>
      <c r="B8" s="14" t="inlineStr">
        <is>
          <t>1234567890123456</t>
        </is>
      </c>
      <c r="C8" s="14" t="inlineStr">
        <is>
          <t>wh-synth-005</t>
        </is>
      </c>
      <c r="D8" s="15" t="inlineStr">
        <is>
          <t>Finance Concurrency</t>
        </is>
      </c>
      <c r="E8" s="16" t="inlineStr">
        <is>
          <t>finance-platform@databricks.example</t>
        </is>
      </c>
      <c r="F8" s="16" t="inlineStr">
        <is>
          <t>us-east-1</t>
        </is>
      </c>
      <c r="G8" s="14" t="inlineStr">
        <is>
          <t>EPOCH-751A15DDC2A55528A0095BDE</t>
        </is>
      </c>
      <c r="H8" s="17" t="n">
        <v>254</v>
      </c>
      <c r="I8" s="16" t="inlineStr">
        <is>
          <t>DASHBOARD</t>
        </is>
      </c>
      <c r="J8" s="17" t="n">
        <v>18000</v>
      </c>
      <c r="K8" s="17" t="n">
        <v>30</v>
      </c>
      <c r="L8" s="18" t="inlineStr">
        <is>
          <t>PRO</t>
        </is>
      </c>
      <c r="M8" s="18" t="inlineStr">
        <is>
          <t>MEDIUM</t>
        </is>
      </c>
      <c r="N8" s="17" t="n">
        <v>1</v>
      </c>
      <c r="O8" s="17" t="n">
        <v>2</v>
      </c>
      <c r="P8" s="17" t="n">
        <v>30</v>
      </c>
      <c r="Q8" s="18" t="inlineStr">
        <is>
          <t>CURRENT</t>
        </is>
      </c>
      <c r="R8" s="18" t="inlineStr">
        <is>
          <t>ENABLED</t>
        </is>
      </c>
      <c r="S8" s="16" t="inlineStr">
        <is>
          <t>USD</t>
        </is>
      </c>
      <c r="T8" s="19" t="n">
        <v>31680</v>
      </c>
      <c r="U8" s="19" t="inlineStr">
        <is>
          <t>UNAVAILABLE</t>
        </is>
      </c>
      <c r="V8" s="19" t="inlineStr">
        <is>
          <t>UNAVAILABLE</t>
        </is>
      </c>
      <c r="W8" s="19" t="n">
        <v>36000</v>
      </c>
      <c r="X8" s="19" t="n">
        <v>5380.16</v>
      </c>
      <c r="Y8" s="19" t="n">
        <v>41380.16</v>
      </c>
      <c r="Z8" s="18" t="inlineStr">
        <is>
          <t>COST_INCREASE</t>
        </is>
      </c>
      <c r="AA8" s="19" t="n">
        <v>-12414.05</v>
      </c>
      <c r="AB8" s="19" t="n">
        <v>-6207.02</v>
      </c>
      <c r="AC8" s="19" t="n">
        <v>33332.92</v>
      </c>
      <c r="AD8" s="19" t="n">
        <v>8047.24</v>
      </c>
      <c r="AE8" s="19" t="n">
        <v>47587.18</v>
      </c>
      <c r="AF8" s="19" t="n">
        <v>53794.21</v>
      </c>
      <c r="AG8" s="20" t="n">
        <v>-0.15</v>
      </c>
      <c r="AH8" s="14" t="inlineStr">
        <is>
          <t>SCN-CC786000B1366D95D0796012</t>
        </is>
      </c>
      <c r="AI8" s="15" t="inlineStr">
        <is>
          <t>Plan A — Optimize current warehouse type</t>
        </is>
      </c>
      <c r="AJ8" s="16" t="inlineStr">
        <is>
          <t>IN_PLACE_OPTIMIZATION</t>
        </is>
      </c>
      <c r="AK8" s="18" t="inlineStr">
        <is>
          <t>HIGH</t>
        </is>
      </c>
      <c r="AL8" s="21" t="n">
        <v>0.93</v>
      </c>
      <c r="AM8" s="15" t="inlineStr">
        <is>
          <t>REVIEW_AND_EXECUTE_FIRST_READY_STEP</t>
        </is>
      </c>
      <c r="AN8" s="18" t="b">
        <v>1</v>
      </c>
      <c r="AO8" s="16" t="inlineStr">
        <is>
          <t>OPTIMIZATION_AVAILABLE</t>
        </is>
      </c>
      <c r="AP8" s="16" t="inlineStr">
        <is>
          <t>SUFFICIENT</t>
        </is>
      </c>
      <c r="AQ8" s="18" t="inlineStr">
        <is>
          <t>HIGH</t>
        </is>
      </c>
      <c r="AR8" s="17" t="n">
        <v>6</v>
      </c>
      <c r="AS8" s="17" t="n">
        <v>1</v>
      </c>
      <c r="AT8" s="17" t="n">
        <v>1</v>
      </c>
      <c r="AU8" s="17" t="n">
        <v>0</v>
      </c>
      <c r="AV8" s="17" t="n">
        <v>0</v>
      </c>
      <c r="AW8" s="17" t="n">
        <v>4</v>
      </c>
      <c r="AX8" s="17" t="n">
        <v>0</v>
      </c>
      <c r="AY8" s="17" t="n">
        <v>0</v>
      </c>
      <c r="AZ8" s="16" t="inlineStr">
        <is>
          <t>Size MEDIUM [NO_CHANGE] | Max 2→3 [ACTIONABLE] | Min 1 [NO_CHANGE] | Auto-stop 30 [NO_CHANGE] | Type PRO→SERVERLESS [TEST_REQUIRED] | Channel CURRENT [NO_CHANGE]</t>
        </is>
      </c>
      <c r="BA8" s="16" t="inlineStr">
        <is>
          <t>Plan A — Optimize current warehouse type | 1. max_clusters 2→3 [READY]; priced AUTHORITATIVE | 2. REMEASURE_AND_REGENERATE [REQUIRED]; remeasure 7d</t>
        </is>
      </c>
      <c r="BB8" s="22" t="inlineStr">
        <is>
          <t>{"client_applications":{"POWER_BI":{"query_count":4500},"SQL_EDITOR":{"query_count":1440}},"multi_label":true,"query_sources":{"ALERT":{"query_count":0,"query_pct":0.0},"DASHBOARD":{"query_count":13500,"query_pct":75.0},"GENIE":{"query_count":0,"query_pct":0.0},"JOB":{"query_count":0,"query_pct":0.0},"NOTEBOOK":{"query_count":0,"query_pct":0.0},"SQL_EDITOR":{"query_count":1440,"query_pct":8.0}},"workload_characteristics":{"activity_pattern":"CONTINUOUS","concurrency_pattern":"BURSTY","latency_class":"INTERACTIVE"}}</t>
        </is>
      </c>
      <c r="BC8" s="22" t="inlineStr">
        <is>
          <t>["SCN-CC786000B1366D95D0796012","SCN-AE1383D5FC2C30D7B1E8A625"]</t>
        </is>
      </c>
      <c r="BD8" s="22" t="inlineStr">
        <is>
          <t>["CAND-377F9ED8A2D81DF0AEB07C32","CAND-F183F7D1929B7C7CD565A918","CAND-80AFEAAC17B90B6740091CD3","CAND-0EF3E4718784E98BA23D5C7D","CAND-CEA5FCCDA651DD76B15D02CA","CAND-02A4A2C622C961DA8C1E29A5"]</t>
        </is>
      </c>
      <c r="BE8" s="22" t="inlineStr">
        <is>
          <t>packages/1234567890123456__wh-synth-005.json</t>
        </is>
      </c>
      <c r="BF8" s="22" t="inlineStr">
        <is>
          <t>{"EVID-02AC31FADD3A46DDE9AC8672":{"interpretation":"Dashboard workload mix context.","metric":"dashboard_queries_30","value":13500},"EVID-038E46D416CD216AAD824440":{"interpretation":"Observed trailing-365-day Databricks SQL list cost attributed to the warehouse.","metric":"actual_dbu_cost_365d","value":31680.0},"EVID-0464732E6A42CA0F844B4087":{"interpretation":"Potential migration-review signal only; this does not prove an external legacy Hive metastore is configured.","metric":"hive_metastore_reference_queries_30","value":0},"EVID-08768924F23A35F26342A6B5":{"interpretation":"No-change forward DBU cost forecast anchored to the current configuration epoch.","metric":"forward_dbu_cost_365d","value":36000.0},"EVID-0E02597D3213CE7CBA74C86C":{"interpretation":"Forward customer AWS infrastructure cost model for the current configuration epoch; null when unavailable.","metric":"forward_aws_cost_365d","value":5380.16},"EVID-176A781FEEBE5770F9DAEF37":{"interpretation":"Compatibility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regions.","region":"us-east-1"},"status":"PASS"}},"EVID-18FDAEBFE536A4B00BCC943B":{"interpretation":"Estimated additional off-time at the candidate target.","metric":"estimated_additional_off_minutes","value":1200.0},"EVID-1AAD84553C8E637E76730749":{"interpretation":"I/O cache evidence for HITL context; not a v2 size decision threshold.","metric":"avg_read_io_cache_percent_30","value":35.0},"EVID-21D4F887C9029EA0F56850FB":{"interpretation":"Queue latency guardrail among queued queries.","metric":"p95_wait_capacity_ms_when_queued_30","value":65000},"EVID-243A648173EECA82637526A2":{"interpretation":"Severity of capacity queueing at p95 among queued queries.","metric":"p95_wait_capacity_ms_when_queued_30","value":65000},"EVID-32195F4EE7C22EE0A76A24DF":{"interpretation":"Compatibility check s3_access_policy_compatibility returned PASS_BY_EXISTING_SERVERLESS.","metric":"compatibility.s3_access_policy_compatibility","value":{"evidence":"UNKNOWN","status":"PASS_BY_EXISTING_SERVERLESS"}},"EVID-324212F35A7011A80C6A6BA3":{"interpretation":"Current idle termination setting versus deterministic policy target.","metric":"auto_stop_minutes","value":30},"EVID-40A178BD1DF4D54686AD685B":{"interpretation":"Job workload mix context.","metric":"job_queries_30","value":0},"EVID-48F91F49DD6218451135C617":{"interpretation":"Compatibility check legacy_hive_metastore_sql_reference returned PASS_WITH_LIMITATION.","metric":"compatibility.legacy_hive_metastore_sql_reference","value":{"evidence":{"reference_queries":0,"visible_pct":100.0},"status":"PASS_WITH_LIMITATION"}},"EVID-4E3921D0FBAE677EEECAE0EB":{"interpretation":"Configured concurrency ceiling.","metric":"max_clusters","value":2},"EVID-5555686F19810CB742AB7A40":{"interpretation":"Observed resource-time basis used to convert idle time into cost effect.","metric":"cluster_minutes","value":30000.0},"EVID-5B6C5E71AB278ACD11F995EE":{"interpretation":"Queries that spilled; the spill severity percentile is computed over these queries only.","metric":"spill_queries_30","value":0},"EVID-5F06B3FDD7ACBB245E6698BA":{"interpretation":"Tableau client workload mix context.","metric":"tableau_queries_30","value":0},"EVID-67D867B3C4DDC384C88CCEAC":{"interpretation":"Highest observed scale level.","metric":"max_observed_clusters","value":2},"EVID-6D9D8B05140A58FCCCC6B21D":{"interpretation":"Current warehouse type.","metric":"warehouse_type","value":"PRO"},"EVID-713EACCA2F8126A799E1FE36":{"interpretation":"Query-tag coverage supplied to HITL for workload attribution and migration validation.","metric":"tagged_query_pct_30","value":70.0},"EVID-7708133043264A423E91FC30":{"interpretation":"Sustained scale pressure blocks minimum reduction.","metric":"time_at_max_pct","value":45.0},"EVID-79435A3C5E9A4B51CF52CEF1":{"interpretation":"Genie workload mix context.","metric":"genie_queries_30","value":0},"EVID-801493CED8B276A53FB4E7EB":{"interpretation":"Configured minimum scale.","metric":"min_clusters","value":1},"EVID-8179BFDB090DED8598025B95":{"interpretation":"Compatibility check external_legacy_hive_metastore_workspace_setting returned PASS.","metric":"compatibility.external_legacy_hive_metastore_workspace_setting","value":{"evidence":{"config_keys":[],"detected":false},"status":"PASS"}},"EVID-82A3C2CACC14A589F634297C":{"interpretation":"Observed billing evidence; not used as current configuration source.","metric":"serverless_usage_pct_365","value":0.0},"EVID-8B4057F5428E31CC6A4E717E":{"interpretation":"Power BI client workload mix context.","metric":"power_bi_queries_30","value":4500},"EVID-92F3FA13732786DAEE01C242":{"interpretation":"Current release channel from the current configuration epoch.","metric":"warehouse_channel","value":"CURRENT"},"EVID-9A22CE6B242B310D6790D2A6":{"interpretation":"Compatibility check workspace_serverless_observed returned PASS.","metric":"compatibility.workspace_serverless_observed","value":{"evidence":true,"status":"PASS"}},"EVID-A49976C5217F3BD58CB83CF6":{"interpretation":"Current warehouse size.","metric":"warehouse_size","value":"MEDIUM"},"EVID-ACF2755A20123E6FB62F422E":{"interpretation":"Severity of spill at p95 among queries that spilled.","metric":"p95_spill_bytes_when_spilled_30","value":0},"EVID-AD3A9EEEC8C5F309C7BFFEAA":{"interpretation":"Coverage available for deterministic pattern checks. Raw SQL text is not exported.","metric":"statement_text_visible_pct_30","value":100.0},"EVID-AEBBA0A1312EED28C3E7FF6C":{"interpretation":"Queue guardrail before reducing baseline capacity.","metric":"queued_query_pct_30","value":12.0},"EVID-AED7559DAC9F0BC32BE18F62":{"interpretation":"How often the warehouse sits at its minimum.","metric":"time_at_min_pct","value":30.0},"EVID-B568E4C752C9E441A2D4C225":{"interpretation":"Concurrency pressure during the decision window.","metric":"queued_query_pct_30","value":12.0},"EVID-B60E91AD0D5EE1DCCDF5E814":{"interpretation":"Fraction of running time at configured maximum.","metric":"time_at_max_pct","value":45.0},"EVID-C0019743301EE0386725FF2D":{"interpretation":"Databricks SQL editor/query workload mix context.","metric":"sql_editor_queries_30","value":1440},"EVID-C39CBA43019A7E2E41D52699":{"interpretation":"Extreme tail execution latency guardrail.","metric":"p99_execution_ms_30","value":15000},"EVID-C773DF3C6AB6E0020A078BA0":{"interpretation":"Queries that queued at capacity; the wait percentile is computed over these queries only.","metric":"queued_queries_30","value":2160},"EVID-C84D5599AED99E6E15B53363":{"interpretation":"Alert workload mix context.","metric":"alert_queries_30","value":0},"EVID-C95E6B1BC4B38F67DDC1C8A3":{"interpretation":"Non-overlapping inter-query gap sample supporting the auto-stop counterfactual.","metric":"idle_gap_count","value":720},"EVID-CC8D27FB8F173BF573F8611E":{"interpretation":"Restart frequency guardrail.","metric":"starts_per_active_day_30","value":0.1333},"EVID-CF2F6C72A37105641E360F0A":{"interpretation":"Frequency of capacity queueing.","metric":"queued_query_pct_30","value":12.0},"EVID-D5F8E470729DAE096060C377":{"interpretation":"Cold-start sensitivity guardrail at p95 among queries that waited for compute.","metric":"p95_wait_compute_ms_when_waited_30","value":3500},"EVID-DD117FC3F483E6BEAABBAD0D":{"interpretation":"Activity density selects the auto-stop target.","metric":"queries_per_active_day_30","value":600.0},"EVID-DE39AAE7BF440BBDEED43AE7":{"interpretation":"Frequency of queries spilling to local storage.","metric":"spill_query_pct_30","value":0.0},"EVID-E16CE8C168D9485757EF1951":{"interpretation":"Queries that waited for compute; the wait percentile is computed over these queries only.","metric":"compute_wait_queries_30","value":4},"EVID-EE9A980D23EE91DC1253C3A7":{"interpretation":"Calendar-day coverage available to the forward cost model.","metric":"cost_history_days","value":254},"EVID-F09C4FC7C53BF57EE512E078":{"interpretation":"Notebook workload mix context.","metric":"notebook_queries_30","value":0},"EVID-F20E29ECD3DB17388D13ADC7":{"interpretation":"Compatibility check workspace_serverless_enablement returned PASS.","metric":"compatibility.workspace_serverless_enablement","value":{"evidence":true,"status":"PASS"}},"EVID-F711CDE22C38E70F8CB18F5F":{"interpretation":"Tail execution latency guardrail.","metric":"p95_execution_ms_30","value":3600}}</t>
        </is>
      </c>
    </row>
    <row r="9" ht="24" customHeight="1">
      <c r="A9" s="14" t="inlineStr">
        <is>
          <t>PKG-69BA220DC5EC020D84CA55CB</t>
        </is>
      </c>
      <c r="B9" s="14" t="inlineStr">
        <is>
          <t>1234567890123456</t>
        </is>
      </c>
      <c r="C9" s="14" t="inlineStr">
        <is>
          <t>wh-synth-002</t>
        </is>
      </c>
      <c r="D9" s="15" t="inlineStr">
        <is>
          <t>Finance Executive</t>
        </is>
      </c>
      <c r="E9" s="16" t="inlineStr">
        <is>
          <t>finance-bi@databricks.example</t>
        </is>
      </c>
      <c r="F9" s="16" t="inlineStr">
        <is>
          <t>us-east-1</t>
        </is>
      </c>
      <c r="G9" s="14" t="inlineStr">
        <is>
          <t>EPOCH-CE32989D02F869C942802E2F</t>
        </is>
      </c>
      <c r="H9" s="17" t="n">
        <v>242</v>
      </c>
      <c r="I9" s="16" t="inlineStr">
        <is>
          <t>DASHBOARD</t>
        </is>
      </c>
      <c r="J9" s="17" t="n">
        <v>9000</v>
      </c>
      <c r="K9" s="17" t="n">
        <v>30</v>
      </c>
      <c r="L9" s="18" t="inlineStr">
        <is>
          <t>PRO</t>
        </is>
      </c>
      <c r="M9" s="18" t="inlineStr">
        <is>
          <t>MEDIUM</t>
        </is>
      </c>
      <c r="N9" s="17" t="n">
        <v>1</v>
      </c>
      <c r="O9" s="17" t="n">
        <v>4</v>
      </c>
      <c r="P9" s="17" t="n">
        <v>30</v>
      </c>
      <c r="Q9" s="18" t="inlineStr">
        <is>
          <t>CURRENT</t>
        </is>
      </c>
      <c r="R9" s="18" t="inlineStr">
        <is>
          <t>ENABLED</t>
        </is>
      </c>
      <c r="S9" s="16" t="inlineStr">
        <is>
          <t>USD</t>
        </is>
      </c>
      <c r="T9" s="19" t="n">
        <v>15840</v>
      </c>
      <c r="U9" s="19" t="inlineStr">
        <is>
          <t>UNAVAILABLE</t>
        </is>
      </c>
      <c r="V9" s="19" t="inlineStr">
        <is>
          <t>UNAVAILABLE</t>
        </is>
      </c>
      <c r="W9" s="19" t="n">
        <v>18000</v>
      </c>
      <c r="X9" s="19" t="n">
        <v>5646.94</v>
      </c>
      <c r="Y9" s="19" t="n">
        <v>23646.94</v>
      </c>
      <c r="Z9" s="18" t="inlineStr">
        <is>
          <t>SAVINGS</t>
        </is>
      </c>
      <c r="AA9" s="19" t="n">
        <v>670.5599999999999</v>
      </c>
      <c r="AB9" s="19" t="n">
        <v>4376.43</v>
      </c>
      <c r="AC9" s="19" t="n">
        <v>15200.66</v>
      </c>
      <c r="AD9" s="19" t="n">
        <v>8446.280000000001</v>
      </c>
      <c r="AE9" s="19" t="n">
        <v>19270.51</v>
      </c>
      <c r="AF9" s="19" t="n">
        <v>22976.38</v>
      </c>
      <c r="AG9" s="20" t="n">
        <v>0.185074</v>
      </c>
      <c r="AH9" s="14" t="inlineStr">
        <is>
          <t>SCN-1B656E36C1F436B2D31FEE71</t>
        </is>
      </c>
      <c r="AI9" s="15" t="inlineStr">
        <is>
          <t>Plan A — Optimize current warehouse type</t>
        </is>
      </c>
      <c r="AJ9" s="16" t="inlineStr">
        <is>
          <t>IN_PLACE_OPTIMIZATION</t>
        </is>
      </c>
      <c r="AK9" s="18" t="inlineStr">
        <is>
          <t>MEDIUM</t>
        </is>
      </c>
      <c r="AL9" s="21" t="n">
        <v>0.78</v>
      </c>
      <c r="AM9" s="15" t="inlineStr">
        <is>
          <t>RUN_WAREHOUSE_SIZE_CANARY</t>
        </is>
      </c>
      <c r="AN9" s="18" t="b">
        <v>1</v>
      </c>
      <c r="AO9" s="16" t="inlineStr">
        <is>
          <t>OPTIMIZATION_AVAILABLE</t>
        </is>
      </c>
      <c r="AP9" s="16" t="inlineStr">
        <is>
          <t>SUFFICIENT</t>
        </is>
      </c>
      <c r="AQ9" s="18" t="inlineStr">
        <is>
          <t>HIGH</t>
        </is>
      </c>
      <c r="AR9" s="17" t="n">
        <v>6</v>
      </c>
      <c r="AS9" s="17" t="n">
        <v>1</v>
      </c>
      <c r="AT9" s="17" t="n">
        <v>2</v>
      </c>
      <c r="AU9" s="17" t="n">
        <v>0</v>
      </c>
      <c r="AV9" s="17" t="n">
        <v>0</v>
      </c>
      <c r="AW9" s="17" t="n">
        <v>3</v>
      </c>
      <c r="AX9" s="17" t="n">
        <v>0</v>
      </c>
      <c r="AY9" s="17" t="n">
        <v>0</v>
      </c>
      <c r="AZ9" s="16" t="inlineStr">
        <is>
          <t>Size MEDIUM→SMALL [TEST_REQUIRED] | Max 4→3 [ACTIONABLE] | Min 1 [NO_CHANGE] | Auto-stop 30 [NO_CHANGE] | Type PRO→SERVERLESS [TEST_REQUIRED] | Channel CURRENT [NO_CHANGE]</t>
        </is>
      </c>
      <c r="BA9" s="16" t="inlineStr">
        <is>
          <t>Plan A — Optimize current warehouse type | 1. warehouse_size MEDIUM→SMALL [READY_FOR_CANARY]; priced AUTHORITATIVE | 2. max_clusters 4→3 [PENDING_REEVALUATION]; priced CONTINGENT | 3. REMEASURE_AND_REGENERATE [REQUIRED]; remeasure 7d</t>
        </is>
      </c>
      <c r="BB9" s="22" t="inlineStr">
        <is>
          <t>{"client_applications":{"POWER_BI":{"query_count":2250},"SQL_EDITOR":{"query_count":720}},"multi_label":true,"query_sources":{"ALERT":{"query_count":0,"query_pct":0.0},"DASHBOARD":{"query_count":6750,"query_pct":75.0},"GENIE":{"query_count":0,"query_pct":0.0},"JOB":{"query_count":0,"query_pct":0.0},"NOTEBOOK":{"query_count":0,"query_pct":0.0},"SQL_EDITOR":{"query_count":720,"query_pct":8.0}},"workload_characteristics":{"activity_pattern":"CONTINUOUS","concurrency_pattern":"STEADY","latency_class":"INTERACTIVE"}}</t>
        </is>
      </c>
      <c r="BC9" s="22" t="inlineStr">
        <is>
          <t>["SCN-1B656E36C1F436B2D31FEE71","SCN-562458A34AA20834D8E26D00"]</t>
        </is>
      </c>
      <c r="BD9" s="22" t="inlineStr">
        <is>
          <t>["CAND-8E9FD2A57101E24DC21989E6","CAND-54F63D00E2EFC9427B7F8293","CAND-E0276ED21AF1CA6ABDA3685B","CAND-C84C3FCC5EB73EA428D9DCED","CAND-E390311B2EF9D01C3C6F7D26","CAND-6E8B69CCEE3CE8F4973519A4"]</t>
        </is>
      </c>
      <c r="BE9" s="22" t="inlineStr">
        <is>
          <t>packages/1234567890123456__wh-synth-002.json</t>
        </is>
      </c>
      <c r="BF9" s="22" t="inlineStr">
        <is>
          <t>{"EVID-03E8FAF1FDB44202845A18D1":{"interpretation":"Genie workload mix context.","metric":"genie_queries_30","value":0},"EVID-0820CEB54C0C9FB6B9F22852":{"interpretation":"Sustained scale pressure blocks minimum reduction.","metric":"time_at_max_pct","value":1.0},"EVID-1B192ACCE952B9BA66BB97FB":{"interpretation":"Tableau client workload mix context.","metric":"tableau_queries_30","value":0},"EVID-2DD59C451FE966A9147AB2F2":{"interpretation":"Compatibility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regions.","region":"us-east-1"},"status":"PASS"}},"EVID-32A21389C39140EA33B86E25":{"interpretation":"Compatibility check workspace_serverless_enablement returned PASS.","metric":"compatibility.workspace_serverless_enablement","value":{"evidence":true,"status":"PASS"}},"EVID-330FF1973264E6F5B82457C4":{"interpretation":"Alert workload mix context.","metric":"alert_queries_30","value":0},"EVID-361CBF305B9F3C7406789ACF":{"interpretation":"Dashboard workload mix context.","metric":"dashboard_queries_30","value":6750},"EVID-3DC605E1CCF1F51DFFAE7996":{"interpretation":"Estimated additional off-time at the candidate target.","metric":"estimated_additional_off_minutes","value":1728.0},"EVID-40DC3FEE74AE4DDCC6F181D7":{"interpretation":"Databricks SQL editor/query workload mix context.","metric":"sql_editor_queries_30","value":720},"EVID-46C83E93199765E6A01DF9CD":{"interpretation":"Query-tag coverage supplied to HITL for workload attribution and migration validation.","metric":"tagged_query_pct_30","value":70.0},"EVID-4AD9BFC520F810E375C9F267":{"interpretation":"Current warehouse size.","metric":"warehouse_size","value":"MEDIUM"},"EVID-55950F406DCC975F644FF58E":{"interpretation":"Observed billing evidence; not used as current configuration source.","metric":"serverless_usage_pct_365","value":0.0},"EVID-565A318F59FE2D81C60059DB":{"interpretation":"Queries that spilled; the spill severity percentile is computed over these queries only.","metric":"spill_queries_30","value":0},"EVID-5CAA18B018EFF8F0DDE6F929":{"interpretation":"Compatibility check workspace_serverless_observed returned PASS.","metric":"compatibility.workspace_serverless_observed","value":{"evidence":true,"status":"PASS"}},"EVID-5E83882E9CB63D27C16F478D":{"interpretation":"Tail execution latency guardrail.","metric":"p95_execution_ms_30","value":2200},"EVID-5FB552A4A794A6CFE7CAB1F3":{"interpretation":"Job workload mix context.","metric":"job_queries_30","value":0},"EVID-6B9164B56B380B7F848687D4":{"interpretation":"Configured minimum scale.","metric":"min_clusters","value":1},"EVID-712DA15CD33F4E642FC88977":{"interpretation":"Queue latency guardrail among queued queries.","metric":"p95_wait_capacity_ms_when_queued_30","value":1000},"EVID-736AEF23E7ED9DFBA2AA3EED":{"interpretation":"Observed trailing-365-day Databricks SQL list cost attributed to the warehouse.","metric":"actual_dbu_cost_365d","value":15840.0},"EVID-792B427D8A8CD35CE856A2F0":{"interpretation":"Current idle termination setting versus deterministic policy target.","metric":"auto_stop_minutes","value":30},"EVID-7A91A2021AA57C5F33FA42C6":{"interpretation":"I/O cache evidence for HITL context; not a v2 size decision threshold.","metric":"avg_read_io_cache_percent_30","value":35.0},"EVID-81523112C9E873756ADB144D":{"interpretation":"No-change forward DBU cost forecast anchored to the current configuration epoch.","metric":"forward_dbu_cost_365d","value":18000.0},"EVID-82A2364471F4A6799601E11B":{"interpretation":"Power BI client workload mix context.","metric":"power_bi_queries_30","value":2250},"EVID-8337939F0AFF21D2C6FE2977":{"interpretation":"Severity of spill at p95 among queries that spilled.","metric":"p95_spill_bytes_when_spilled_30","value":0},"EVID-876511EC79C9ECE935F8ED00":{"interpretation":"Non-overlapping inter-query gap sample supporting the auto-stop counterfactual.","metric":"idle_gap_count","value":360},"EVID-8C8337FFD7A78BAC7F921D11":{"interpretation":"Severity of capacity queueing at p95 among queued queries.","metric":"p95_wait_capacity_ms_when_queued_30","value":1000},"EVID-903B0F4B759CBBBEEB13B613":{"interpretation":"Restart frequency guardrail.","metric":"starts_per_active_day_30","value":0.2333},"EVID-91B0650858728DBD33B126CD":{"interpretation":"Concurrency pressure during the decision window.","metric":"queued_query_pct_30","value":0.2},"EVID-94793DBCDE4FA75AC3E4A69F":{"interpretation":"Compatibility check legacy_hive_metastore_sql_reference returned PASS_WITH_LIMITATION.","metric":"compatibility.legacy_hive_metastore_sql_reference","value":{"evidence":{"reference_queries":0,"visible_pct":100.0},"status":"PASS_WITH_LIMITATION"}},"EVID-9B7C8E52FAACFD57E925E970":{"interpretation":"Configured concurrency ceiling.","metric":"max_clusters","value":4},"EVID-9DB540AB86F707F22A62FCA1":{"interpretation":"Current release channel from the current configuration epoch.","metric":"warehouse_channel","value":"CURRENT"},"EVID-A75501B0489D683DBC75D3A9":{"interpretation":"Calendar-day coverage available to the forward cost model.","metric":"cost_history_days","value":242},"EVID-A7F458AC52E3BD6A823E5DB5":{"interpretation":"Highest observed scale level.","metric":"max_observed_clusters","value":2},"EVID-AA78D7495831C5BF3781E5B9":{"interpretation":"Fraction of running time at configured maximum.","metric":"time_at_max_pct","value":1.0},"EVID-B20B311CF63DDB084A77C558":{"interpretation":"Potential migration-review signal only; this does not prove an external legacy Hive metastore is configured.","metric":"hive_metastore_reference_queries_30","value":0},"EVID-B22219BB82949C3249DE631C":{"interpretation":"Compatibility check s3_access_policy_compatibility returned PASS_BY_EXISTING_SERVERLESS.","metric":"compatibility.s3_access_policy_compatibility","value":{"evidence":"UNKNOWN","status":"PASS_BY_EXISTING_SERVERLESS"}},"EVID-B25114965730FF7335477B28":{"interpretation":"Observed resource-time basis used to convert idle time into cost effect.","metric":"cluster_minutes","value":30000.0},"EVID-B536175E2D40055600E398E5":{"interpretation":"Compatibility check external_legacy_hive_metastore_workspace_setting returned PASS.","metric":"compatibility.external_legacy_hive_metastore_workspace_setting","value":{"evidence":{"config_keys":[],"detected":false},"status":"PASS"}},"EVID-BCFB1FB057779155A6A6149B":{"interpretation":"Queue guardrail before reducing baseline capacity.","metric":"queued_query_pct_30","value":0.2},"EVID-CD0CA3D3B4B2BC5566C1D1F9":{"interpretation":"Coverage available for deterministic pattern checks. Raw SQL text is not exported.","metric":"statement_text_visible_pct_30","value":100.0},"EVID-CE93052A4088BD04DDDFC0B4":{"interpretation":"Frequency of queries spilling to local storage.","metric":"spill_query_pct_30","value":0.0},"EVID-D05F11599AD06F29F9E033F1":{"interpretation":"Notebook workload mix context.","metric":"notebook_queries_30","value":0},"EVID-D558D8F42F4A30017D8B68C1":{"interpretation":"Queries that waited for compute; the wait percentile is computed over these queries only.","metric":"compute_wait_queries_30","value":7},"EVID-D5EF658C7F2298FAC4A62844":{"interpretation":"Queries that queued at capacity; the wait percentile is computed over these queries only.","metric":"queued_queries_30","value":18},"EVID-D75BC7CEF9C5E360F50654AF":{"interpretation":"Forward customer AWS infrastructure cost model for the current configuration epoch; null when unavailable.","metric":"forward_aws_cost_365d","value":5646.94},"EVID-E5A742070F6622EF00822E7C":{"interpretation":"How often the warehouse sits at its minimum.","metric":"time_at_min_pct","value":62.0},"EVID-F1FF5E3A4AF36A7D16C2F773":{"interpretation":"Frequency of capacity queueing.","metric":"queued_query_pct_30","value":0.2},"EVID-F887625EFA3AE63183C78DF3":{"interpretation":"Cold-start sensitivity guardrail at p95 among queries that waited for compute.","metric":"p95_wait_compute_ms_when_waited_30","value":3500},"EVID-FAA816B37A09EEEF7686D7A7":{"interpretation":"Extreme tail execution latency guardrail.","metric":"p99_execution_ms_30","value":7000},"EVID-FCA9DE9BECCD4E0E057474C8":{"interpretation":"Current warehouse type.","metric":"warehouse_type","value":"PRO"},"EVID-FFDE708589B4FB1A37CF7552":{"interpretation":"Activity density selects the auto-stop target.","metric":"queries_per_active_day_30","value":300.0}}</t>
        </is>
      </c>
    </row>
    <row r="10" ht="24" customHeight="1">
      <c r="A10" s="14" t="inlineStr">
        <is>
          <t>PKG-1B297C98438DC42F237017DA</t>
        </is>
      </c>
      <c r="B10" s="14" t="inlineStr">
        <is>
          <t>1234567890123456</t>
        </is>
      </c>
      <c r="C10" s="14" t="inlineStr">
        <is>
          <t>wh-synth-003</t>
        </is>
      </c>
      <c r="D10" s="15" t="inlineStr">
        <is>
          <t>Marketing Ad Hoc</t>
        </is>
      </c>
      <c r="E10" s="16" t="inlineStr">
        <is>
          <t>marketing-analytics@databricks.example</t>
        </is>
      </c>
      <c r="F10" s="16" t="inlineStr">
        <is>
          <t>us-east-1</t>
        </is>
      </c>
      <c r="G10" s="14" t="inlineStr">
        <is>
          <t>EPOCH-A418A413C4F8F62F08F2D451</t>
        </is>
      </c>
      <c r="H10" s="17" t="n">
        <v>228</v>
      </c>
      <c r="I10" s="16" t="inlineStr">
        <is>
          <t>NOTEBOOK</t>
        </is>
      </c>
      <c r="J10" s="17" t="n">
        <v>900</v>
      </c>
      <c r="K10" s="17" t="n">
        <v>30</v>
      </c>
      <c r="L10" s="18" t="inlineStr">
        <is>
          <t>PRO</t>
        </is>
      </c>
      <c r="M10" s="18" t="inlineStr">
        <is>
          <t>LARGE</t>
        </is>
      </c>
      <c r="N10" s="17" t="n">
        <v>1</v>
      </c>
      <c r="O10" s="17" t="n">
        <v>3</v>
      </c>
      <c r="P10" s="17" t="n">
        <v>120</v>
      </c>
      <c r="Q10" s="18" t="inlineStr">
        <is>
          <t>CURRENT</t>
        </is>
      </c>
      <c r="R10" s="18" t="inlineStr">
        <is>
          <t>ENABLED</t>
        </is>
      </c>
      <c r="S10" s="16" t="inlineStr">
        <is>
          <t>USD</t>
        </is>
      </c>
      <c r="T10" s="19" t="n">
        <v>12760</v>
      </c>
      <c r="U10" s="19" t="inlineStr">
        <is>
          <t>UNAVAILABLE</t>
        </is>
      </c>
      <c r="V10" s="19" t="inlineStr">
        <is>
          <t>UNAVAILABLE</t>
        </is>
      </c>
      <c r="W10" s="19" t="n">
        <v>14500</v>
      </c>
      <c r="X10" s="19" t="n">
        <v>6659.65</v>
      </c>
      <c r="Y10" s="19" t="n">
        <v>21159.65</v>
      </c>
      <c r="Z10" s="18" t="inlineStr">
        <is>
          <t>SAVINGS</t>
        </is>
      </c>
      <c r="AA10" s="19" t="n">
        <v>-836.14</v>
      </c>
      <c r="AB10" s="19" t="n">
        <v>5762.6</v>
      </c>
      <c r="AC10" s="19" t="n">
        <v>10161.76</v>
      </c>
      <c r="AD10" s="19" t="n">
        <v>10997.89</v>
      </c>
      <c r="AE10" s="19" t="n">
        <v>15397.05</v>
      </c>
      <c r="AF10" s="19" t="n">
        <v>21995.79</v>
      </c>
      <c r="AG10" s="20" t="n">
        <v>0.272339</v>
      </c>
      <c r="AH10" s="14" t="inlineStr">
        <is>
          <t>SCN-D7CBE49F5C50DE0E816A9CD2</t>
        </is>
      </c>
      <c r="AI10" s="15" t="inlineStr">
        <is>
          <t>Plan A — Optimize current warehouse type</t>
        </is>
      </c>
      <c r="AJ10" s="16" t="inlineStr">
        <is>
          <t>IN_PLACE_OPTIMIZATION</t>
        </is>
      </c>
      <c r="AK10" s="18" t="inlineStr">
        <is>
          <t>MEDIUM</t>
        </is>
      </c>
      <c r="AL10" s="21" t="n">
        <v>0.78</v>
      </c>
      <c r="AM10" s="15" t="inlineStr">
        <is>
          <t>RUN_WAREHOUSE_SIZE_CANARY</t>
        </is>
      </c>
      <c r="AN10" s="18" t="b">
        <v>1</v>
      </c>
      <c r="AO10" s="16" t="inlineStr">
        <is>
          <t>OPTIMIZATION_AVAILABLE</t>
        </is>
      </c>
      <c r="AP10" s="16" t="inlineStr">
        <is>
          <t>SUFFICIENT</t>
        </is>
      </c>
      <c r="AQ10" s="18" t="inlineStr">
        <is>
          <t>HIGH</t>
        </is>
      </c>
      <c r="AR10" s="17" t="n">
        <v>6</v>
      </c>
      <c r="AS10" s="17" t="n">
        <v>2</v>
      </c>
      <c r="AT10" s="17" t="n">
        <v>2</v>
      </c>
      <c r="AU10" s="17" t="n">
        <v>0</v>
      </c>
      <c r="AV10" s="17" t="n">
        <v>0</v>
      </c>
      <c r="AW10" s="17" t="n">
        <v>2</v>
      </c>
      <c r="AX10" s="17" t="n">
        <v>0</v>
      </c>
      <c r="AY10" s="17" t="n">
        <v>0</v>
      </c>
      <c r="AZ10" s="16" t="inlineStr">
        <is>
          <t>Size LARGE→MEDIUM [TEST_REQUIRED] | Max 3→2 [ACTIONABLE] | Min 1 [NO_CHANGE] | Auto-stop 120→15 [ACTIONABLE] | Type PRO→SERVERLESS [TEST_REQUIRED] | Channel CURRENT [NO_CHANGE]</t>
        </is>
      </c>
      <c r="BA10" s="16" t="inlineStr">
        <is>
          <t>Plan A — Optimize current warehouse type | 1. warehouse_size LARGE→MEDIUM [READY_FOR_CANARY]; priced AUTHORITATIVE | 2. max_clusters 3→2 [PENDING_REEVALUATION]; priced CONTINGENT | 3. auto_stop_minutes 120→15 [PENDING_REEVALUATION]; priced CONTINGENT | 4. REMEASURE_AND_REGENERATE [REQUIRED]; remeasure 7d</t>
        </is>
      </c>
      <c r="BB10" s="22" t="inlineStr">
        <is>
          <t>{"client_applications":{"SQL_EDITOR":{"query_count":72}},"multi_label":true,"query_sources":{"ALERT":{"query_count":0,"query_pct":0.0},"DASHBOARD":{"query_count":0,"query_pct":0.0},"GENIE":{"query_count":0,"query_pct":0.0},"JOB":{"query_count":0,"query_pct":0.0},"NOTEBOOK":{"query_count":675,"query_pct":75.0},"SQL_EDITOR":{"query_count":72,"query_pct":8.0}},"workload_characteristics":{"activity_pattern":"CONTINUOUS","concurrency_pattern":"STEADY","latency_class":"INTERACTIVE"}}</t>
        </is>
      </c>
      <c r="BC10" s="22" t="inlineStr">
        <is>
          <t>["SCN-D7CBE49F5C50DE0E816A9CD2","SCN-509F0B84125F5B7EFD41B34F"]</t>
        </is>
      </c>
      <c r="BD10" s="22" t="inlineStr">
        <is>
          <t>["CAND-6B9EEF223CD62A0B0720714A","CAND-F878D946224283BA589FD98A","CAND-8931F3BE78641A385D65130D","CAND-1D1B4EC16ED60AB22768C5E8","CAND-2B65CE34434D627E7C4E7D0B","CAND-5D8E6A15050D0BC21F82DB67"]</t>
        </is>
      </c>
      <c r="BE10" s="22" t="inlineStr">
        <is>
          <t>packages/1234567890123456__wh-synth-003.json</t>
        </is>
      </c>
      <c r="BF10" s="22" t="inlineStr">
        <is>
          <t>{"EVID-03C8B5312C5FE9830BDCFF27":{"interpretation":"Fraction of running time at configured maximum.","metric":"time_at_max_pct","value":0.0},"EVID-0FB34E16D22C0DC5D9782A12":{"interpretation":"Highest observed scale level.","metric":"max_observed_clusters","value":1},"EVID-11AF4398307CE0F6B2C95839":{"interpretation":"Non-overlapping inter-query gap sample supporting the auto-stop counterfactual.","metric":"idle_gap_count","value":36},"EVID-12922A19AF92CAB3AA9714DD":{"interpretation":"Cold-start sensitivity guardrail at p95 among queries that waited for compute.","metric":"p95_wait_compute_ms_when_waited_30","value":3500},"EVID-12B133BC158CB307238E760D":{"interpretation":"Dashboard workload mix context.","metric":"dashboard_queries_30","value":0},"EVID-238156F042195E83CB1D7BFD":{"interpretation":"Activity density selects the auto-stop target.","metric":"queries_per_active_day_30","value":30.0},"EVID-24B0F4C844E49CC0BBF290ED":{"interpretation":"Queue guardrail before reducing baseline capacity.","metric":"queued_query_pct_30","value":0.0},"EVID-29BAC5FF64717D55401618A4":{"interpretation":"Tail execution latency guardrail.","metric":"p95_execution_ms_30","value":2800},"EVID-3169F24E668515676CDAEC06":{"interpretation":"Compatibility check external_legacy_hive_metastore_workspace_setting returned PASS.","metric":"compatibility.external_legacy_hive_metastore_workspace_setting","value":{"evidence":{"config_keys":[],"detected":false},"status":"PASS"}},"EVID-338FBC5F582A0343A81D5D35":{"interpretation":"Calendar-day coverage available to the forward cost model.","metric":"cost_history_days","value":228},"EVID-34D2BE323D88FEFBD52BC157":{"interpretation":"Compatibility check workspace_serverless_observed returned PASS.","metric":"compatibility.workspace_serverless_observed","value":{"evidence":true,"status":"PASS"}},"EVID-3B28A16644A2A57DA7060FEB":{"interpretation":"Frequency of queries spilling to local storage.","metric":"spill_query_pct_30","value":0.0},"EVID-48F5313AC3181ACA7638598F":{"interpretation":"I/O cache evidence for HITL context; not a v2 size decision threshold.","metric":"avg_read_io_cache_percent_30","value":35.0},"EVID-496E780302F53950272CD89F":{"interpretation":"Power BI client workload mix context.","metric":"power_bi_queries_30","value":0},"EVID-4DBA88B2BC78EFFDE0289BF2":{"interpretation":"Estimated additional off-time at the candidate target.","metric":"estimated_additional_off_minutes","value":10120.0},"EVID-4E3B3CFBE454C52D06E172D9":{"interpretation":"Databricks SQL editor/query workload mix context.","metric":"sql_editor_queries_30","value":72},"EVID-573AE828EB0C16FFBDF39D89":{"interpretation":"Tableau client workload mix context.","metric":"tableau_queries_30","value":0},"EVID-5BAB9AE2F58AF32F2026C26F":{"interpretation":"Restart frequency guardrail.","metric":"starts_per_active_day_30","value":0.1667},"EVID-5C6906863C57EB98A8D88F66":{"interpretation":"Current release channel from the current configuration epoch.","metric":"warehouse_channel","value":"CURRENT"},"EVID-5F2D4AB39AABF5BAADEEEC14":{"interpretation":"Query-tag coverage supplied to HITL for workload attribution and migration validation.","metric":"tagged_query_pct_30","value":70.0},"EVID-683B1AE13834CF7A72976437":{"interpretation":"No-change forward DBU cost forecast anchored to the current configuration epoch.","metric":"forward_dbu_cost_365d","value":14500.0},"EVID-6A828E733BFBF0C431954454":{"interpretation":"Observed trailing-365-day Databricks SQL list cost attributed to the warehouse.","metric":"actual_dbu_cost_365d","value":12760.0},"EVID-6CDFF811B60AA588BA20E158":{"interpretation":"Sustained scale pressure blocks minimum reduction.","metric":"time_at_max_pct","value":0.0},"EVID-71FFD313D781A7EB30D0E021":{"interpretation":"Configured concurrency ceiling.","metric":"max_clusters","value":3},"EVID-754094313E68ACA0FA861C99":{"interpretation":"Extreme tail execution latency guardrail.","metric":"p99_execution_ms_30","value":11000},"EVID-79E52EE17204D63C325353E3":{"interpretation":"Forward customer AWS infrastructure cost model for the current configuration epoch; null when unavailable.","metric":"forward_aws_cost_365d","value":6659.65},"EVID-7A0828DFF3D741851110137B":{"interpretation":"Genie workload mix context.","metric":"genie_queries_30","value":0},"EVID-7C48F59A969F6B4129C6A6F7":{"interpretation":"Potential migration-review signal only; this does not prove an external legacy Hive metastore is configured.","metric":"hive_metastore_reference_queries_30","value":0},"EVID-84E8ACC912EFD5A45DC90F5F":{"interpretation":"Alert workload mix context.","metric":"alert_queries_30","value":0},"EVID-8AF8AB5698F5F3CBA88B0794":{"interpretation":"Compatibility check s3_access_policy_compatibility returned PASS_BY_EXISTING_SERVERLESS.","metric":"compatibility.s3_access_policy_compatibility","value":{"evidence":"UNKNOWN","status":"PASS_BY_EXISTING_SERVERLESS"}},"EVID-9BFCB9789587DE8B131F843F":{"interpretation":"Concurrency pressure during the decision window.","metric":"queued_query_pct_30","value":0.0},"EVID-9C0887EA9BBD5DE729F8D5C2":{"interpretation":"Current warehouse type.","metric":"warehouse_type","value":"PRO"},"EVID-A0D653C7E7295C8A6FCCA24B":{"interpretation":"Observed resource-time basis used to convert idle time into cost effect.","metric":"cluster_minutes","value":20000.0},"EVID-A15E47B73E05ED02C3C19CD2":{"interpretation":"Queries that spilled; the spill severity percentile is computed over these queries only.","metric":"spill_queries_30","value":0},"EVID-A3B4AC4B648CA9BA139F8C4F":{"interpretation":"Current idle termination setting versus deterministic policy target.","metric":"auto_stop_minutes","value":120},"EVID-A41BC0C2030EB101CE85B820":{"interpretation":"Compatibility check legacy_hive_metastore_sql_reference returned PASS_WITH_LIMITATION.","metric":"compatibility.legacy_hive_metastore_sql_reference","value":{"evidence":{"reference_queries":0,"visible_pct":100.0},"status":"PASS_WITH_LIMITATION"}},"EVID-A8EFF5F2B461614CF5DBAA12":{"interpretation":"Queries that waited for compute; the wait percentile is computed over these queries only.","metric":"compute_wait_queries_30","value":5},"EVID-AC454960F83731A41C18B2E6":{"interpretation":"Queries that queued at capacity; the wait percentile is computed over these queries only.","metric":"queued_queries_30","value":0},"EVID-B5C6E9BC8D6DB4E66C7DEC14":{"interpretation":"Frequency of capacity queueing.","metric":"queued_query_pct_30","value":0.0},"EVID-C0E81BB6EA014B400613A97D":{"interpretation":"Configured minimum scale.","metric":"min_clusters","value":1},"EVID-C3766CBA9521FE51088A3D5D":{"interpretation":"Observed billing evidence; not used as current configuration source.","metric":"serverless_usage_pct_365","value":0.0},"EVID-C57BD8997AEF9DA09175FE80":{"interpretation":"Compatibility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regions.","region":"us-east-1"},"status":"PASS"}},"EVID-D279C5B2E8AE57BAA1C94081":{"interpretation":"Severity of spill at p95 among queries that spilled.","metric":"p95_spill_bytes_when_spilled_30","value":0},"EVID-D563A904AF61289F7E0D5BFE":{"interpretation":"Queue latency guardrail among queued queries.","metric":"p95_wait_capacity_ms_when_queued_30","value":0},"EVID-D828BA2B7CE2902D2014DD21":{"interpretation":"Job workload mix context.","metric":"job_queries_30","value":0},"EVID-D9C2F551D19A9FB621D5851F":{"interpretation":"How often the warehouse sits at its minimum.","metric":"time_at_min_pct","value":55.0},"EVID-E22A43BF0CCBA0DC7437C8CC":{"interpretation":"Coverage available for deterministic pattern checks. Raw SQL text is not exported.","metric":"statement_text_visible_pct_30","value":100.0},"EVID-E42C4D645EC2B254E217C4BD":{"interpretation":"Compatibility check workspace_serverless_enablement returned PASS.","metric":"compatibility.workspace_serverless_enablement","value":{"evidence":true,"status":"PASS"}},"EVID-F8B206CAB99AC6B2BBEEEB53":{"interpretation":"Severity of capacity queueing at p95 among queued queries.","metric":"p95_wait_capacity_ms_when_queued_30","value":0},"EVID-FBBD7CA62DAF0F3CE7D41AA7":{"interpretation":"Current warehouse size.","metric":"warehouse_size","value":"LARGE"},"EVID-FCE8F183005B58ACEF7C85B4":{"interpretation":"Notebook workload mix context.","metric":"notebook_queries_30","value":675}}</t>
        </is>
      </c>
    </row>
    <row r="11" ht="24" customHeight="1">
      <c r="A11" s="14" t="inlineStr">
        <is>
          <t>PKG-174715E982DCBFB8A89E70C3</t>
        </is>
      </c>
      <c r="B11" s="14" t="inlineStr">
        <is>
          <t>1234567890123456</t>
        </is>
      </c>
      <c r="C11" s="14" t="inlineStr">
        <is>
          <t>wh-synth-007</t>
        </is>
      </c>
      <c r="D11" s="15" t="inlineStr">
        <is>
          <t>New Product Launch</t>
        </is>
      </c>
      <c r="E11" s="16" t="inlineStr">
        <is>
          <t>product-analytics@databricks.example</t>
        </is>
      </c>
      <c r="F11" s="16" t="inlineStr">
        <is>
          <t>us-east-1</t>
        </is>
      </c>
      <c r="G11" s="14" t="inlineStr">
        <is>
          <t>EPOCH-A8B2A2BBEFFB9B9040B37D98</t>
        </is>
      </c>
      <c r="H11" s="17" t="n">
        <v>3</v>
      </c>
      <c r="I11" s="16" t="inlineStr">
        <is>
          <t>DASHBOARD</t>
        </is>
      </c>
      <c r="J11" s="17" t="n">
        <v>2400</v>
      </c>
      <c r="K11" s="17" t="n">
        <v>30</v>
      </c>
      <c r="L11" s="18" t="inlineStr">
        <is>
          <t>PRO</t>
        </is>
      </c>
      <c r="M11" s="18" t="inlineStr">
        <is>
          <t>SMALL</t>
        </is>
      </c>
      <c r="N11" s="17" t="n">
        <v>1</v>
      </c>
      <c r="O11" s="17" t="n">
        <v>2</v>
      </c>
      <c r="P11" s="17" t="n">
        <v>120</v>
      </c>
      <c r="Q11" s="18" t="inlineStr">
        <is>
          <t>CURRENT</t>
        </is>
      </c>
      <c r="R11" s="18" t="inlineStr">
        <is>
          <t>ENABLED</t>
        </is>
      </c>
      <c r="S11" s="16" t="inlineStr">
        <is>
          <t>USD</t>
        </is>
      </c>
      <c r="T11" s="19" t="n">
        <v>10560</v>
      </c>
      <c r="U11" s="19" t="inlineStr">
        <is>
          <t>UNAVAILABLE</t>
        </is>
      </c>
      <c r="V11" s="19" t="inlineStr">
        <is>
          <t>UNAVAILABLE</t>
        </is>
      </c>
      <c r="W11" s="19" t="n">
        <v>12000</v>
      </c>
      <c r="X11" s="19" t="n">
        <v>151840</v>
      </c>
      <c r="Y11" s="19" t="n">
        <v>163840</v>
      </c>
      <c r="Z11" s="18" t="inlineStr">
        <is>
          <t>NO_CHANGE</t>
        </is>
      </c>
      <c r="AA11" s="19" t="n">
        <v>-176826.67</v>
      </c>
      <c r="AB11" s="19" t="n">
        <v>0</v>
      </c>
      <c r="AC11" s="19" t="n">
        <v>0</v>
      </c>
      <c r="AD11" s="19" t="n">
        <v>163840</v>
      </c>
      <c r="AE11" s="19" t="n">
        <v>163840</v>
      </c>
      <c r="AF11" s="19" t="n">
        <v>340666.67</v>
      </c>
      <c r="AG11" s="20" t="n">
        <v>0</v>
      </c>
      <c r="AH11" s="14" t="inlineStr">
        <is>
          <t>SCN-41BF7EE984C5C0ED6D4476A1</t>
        </is>
      </c>
      <c r="AI11" s="15" t="inlineStr">
        <is>
          <t>Plan A — Optimize current warehouse type</t>
        </is>
      </c>
      <c r="AJ11" s="16" t="inlineStr">
        <is>
          <t>IN_PLACE_OPTIMIZATION</t>
        </is>
      </c>
      <c r="AK11" s="18" t="inlineStr">
        <is>
          <t>HIGH</t>
        </is>
      </c>
      <c r="AL11" s="21" t="n">
        <v>1</v>
      </c>
      <c r="AM11" s="15" t="inlineStr">
        <is>
          <t>REVIEW_SCENARIO</t>
        </is>
      </c>
      <c r="AN11" s="18" t="b">
        <v>1</v>
      </c>
      <c r="AO11" s="16" t="inlineStr">
        <is>
          <t>OPTIMIZATION_AVAILABLE</t>
        </is>
      </c>
      <c r="AP11" s="16" t="inlineStr">
        <is>
          <t>PARTIAL</t>
        </is>
      </c>
      <c r="AQ11" s="18" t="inlineStr">
        <is>
          <t>LOW</t>
        </is>
      </c>
      <c r="AR11" s="17" t="n">
        <v>6</v>
      </c>
      <c r="AS11" s="17" t="n">
        <v>0</v>
      </c>
      <c r="AT11" s="17" t="n">
        <v>1</v>
      </c>
      <c r="AU11" s="17" t="n">
        <v>0</v>
      </c>
      <c r="AV11" s="17" t="n">
        <v>1</v>
      </c>
      <c r="AW11" s="17" t="n">
        <v>4</v>
      </c>
      <c r="AX11" s="17" t="n">
        <v>0</v>
      </c>
      <c r="AY11" s="17" t="n">
        <v>0</v>
      </c>
      <c r="AZ11" s="16" t="inlineStr">
        <is>
          <t>Size SMALL [NO_CHANGE] | Max 2 [NO_CHANGE] | Min 1 [NO_CHANGE] | Auto-stop 120→30 [BLOCKED] | Type PRO→SERVERLESS [TEST_REQUIRED] | Channel CURRENT [NO_CHANGE]</t>
        </is>
      </c>
      <c r="BA11" s="16" t="inlineStr">
        <is>
          <t>Plan A — Optimize current warehouse type</t>
        </is>
      </c>
      <c r="BB11" s="22" t="inlineStr">
        <is>
          <t>{"client_applications":{"POWER_BI":{"query_count":600},"SQL_EDITOR":{"query_count":192}},"multi_label":true,"query_sources":{"ALERT":{"query_count":0,"query_pct":0.0},"DASHBOARD":{"query_count":1800,"query_pct":75.0},"GENIE":{"query_count":0,"query_pct":0.0},"JOB":{"query_count":0,"query_pct":0.0},"NOTEBOOK":{"query_count":0,"query_pct":0.0},"SQL_EDITOR":{"query_count":192,"query_pct":8.0}},"workload_characteristics":{"activity_pattern":"CONTINUOUS","concurrency_pattern":"STEADY","latency_class":"INTERACTIVE"}}</t>
        </is>
      </c>
      <c r="BC11" s="22" t="inlineStr">
        <is>
          <t>["SCN-41BF7EE984C5C0ED6D4476A1","SCN-FDB5EC0875B1F59325F0FADD"]</t>
        </is>
      </c>
      <c r="BD11" s="22" t="inlineStr">
        <is>
          <t>["CAND-BE64253C1F5541854D9D5F73","CAND-D5D6479CF95BC13FC20D6F5F","CAND-754355444A1A789B2EC1DC71","CAND-B2C77C0E282E77BA3CA93FFD","CAND-05ECA8EB06C456A0556818F8","CAND-D1C8429D0D427860A3152AFC"]</t>
        </is>
      </c>
      <c r="BE11" s="22" t="inlineStr">
        <is>
          <t>packages/1234567890123456__wh-synth-007.json</t>
        </is>
      </c>
      <c r="BF11" s="22" t="inlineStr">
        <is>
          <t>{"EVID-07150EBD7C85821371FC5C6D":{"interpretation":"Queries that spilled; the spill severity percentile is computed over these queries only.","metric":"spill_queries_30","value":0},"EVID-08183391992A779E604BF66F":{"interpretation":"Frequency of capacity queueing.","metric":"queued_query_pct_30","value":0.0},"EVID-0C9E319B71D62381F589D216":{"interpretation":"Current release channel from the current configuration epoch.","metric":"warehouse_channel","value":"CURRENT"},"EVID-11DE4B9E2CE51DBAE4B4614C":{"interpretation":"Calendar-day coverage available to the forward cost model.","metric":"cost_history_days","value":3},"EVID-164D4D97F7515BF86F925145":{"interpretation":"Notebook workload mix context.","metric":"notebook_queries_30","value":0},"EVID-18637E3CA6358E9E46DF826D":{"interpretation":"Current idle termination setting versus deterministic policy target.","metric":"auto_stop_minutes","value":120},"EVID-1A988C9435A4C646C054795C":{"interpretation":"Compatibility check workspace_serverless_enablement returned PASS.","metric":"compatibility.workspace_serverless_enablement","value":{"evidence":true,"status":"PASS"}},"EVID-1C88354197DE4989BF278EC4":{"interpretation":"Concurrency pressure during the decision window.","metric":"queued_query_pct_30","value":0.0},"EVID-1DA1B37749AB7CAF629DC62B":{"interpretation":"Query-tag coverage supplied to HITL for workload attribution and migration validation.","metric":"tagged_query_pct_30","value":70.0},"EVID-21CA29942CA50C940F7D85F5":{"interpretation":"Fraction of running time at configured maximum.","metric":"time_at_max_pct","value":0.0},"EVID-222B0A26CEBB4F6CFFCEE77A":{"interpretation":"Alert workload mix context.","metric":"alert_queries_30","value":0},"EVID-2452143F8B9B2CED497389CF":{"interpretation":"Severity of spill at p95 among queries that spilled.","metric":"p95_spill_bytes_when_spilled_30","value":0},"EVID-2466A868745928C7FD331536":{"interpretation":"Current warehouse type.","metric":"warehouse_type","value":"PRO"},"EVID-28CD210DF4ED6451A92DA63F":{"interpretation":"How often the warehouse sits at its minimum.","metric":"time_at_min_pct","value":60.0},"EVID-2ADB478E1643572CD5941C8A":{"interpretation":"Frequency of queries spilling to local storage.","metric":"spill_query_pct_30","value":0.0},"EVID-33DCA8B89A2B49AF5DF37795":{"interpretation":"Observed resource-time basis used to convert idle time into cost effect.","metric":"cluster_minutes","value":20000.0},"EVID-38718E7800609FF827476BF7":{"interpretation":"Estimated additional off-time at the candidate target.","metric":"estimated_additional_off_minutes","value":7920.0},"EVID-38E12A59BDB085C9ED17E3D5":{"interpretation":"I/O cache evidence for HITL context; not a v2 size decision threshold.","metric":"avg_read_io_cache_percent_30","value":35.0},"EVID-3BAC65585521CF919E44102B":{"interpretation":"Compatibility check legacy_hive_metastore_sql_reference returned PASS_WITH_LIMITATION.","metric":"compatibility.legacy_hive_metastore_sql_reference","value":{"evidence":{"reference_queries":0,"visible_pct":100.0},"status":"PASS_WITH_LIMITATION"}},"EVID-3FC965DD5530031ABE3CF979":{"interpretation":"Job workload mix context.","metric":"job_queries_30","value":0},"EVID-437994D2A9758FE4A0245CBF":{"interpretation":"Coverage available for deterministic pattern checks. Raw SQL text is not exported.","metric":"statement_text_visible_pct_30","value":100.0},"EVID-43CC9F6E44DCD88D951C6080":{"interpretation":"Queue guardrail before reducing baseline capacity.","metric":"queued_query_pct_30","value":0.0},"EVID-53C42F047891ECE385CAFC98":{"interpretation":"Tableau client workload mix context.","metric":"tableau_queries_30","value":0},"EVID-6F2210B4A714E07FF2B336E5":{"interpretation":"Current warehouse size.","metric":"warehouse_size","value":"SMALL"},"EVID-72FB3CFBF04B362625A5DCD4":{"interpretation":"Databricks SQL editor/query workload mix context.","metric":"sql_editor_queries_30","value":192},"EVID-747CC412E5A28693E648C692":{"interpretation":"Dashboard workload mix context.","metric":"dashboard_queries_30","value":1800},"EVID-755CFD7941CE94A93847E0B3":{"interpretation":"Forward customer AWS infrastructure cost model for the current configuration epoch; null when unavailable.","metric":"forward_aws_cost_365d","value":151840.0},"EVID-7665354F4642CB67866F4828":{"interpretation":"Compatibility check external_legacy_hive_metastore_workspace_setting returned PASS.","metric":"compatibility.external_legacy_hive_metastore_workspace_setting","value":{"evidence":{"config_keys":[],"detected":false},"status":"PASS"}},"EVID-81A9089491437728148A8B5A":{"interpretation":"Highest observed scale level.","metric":"max_observed_clusters","value":1},"EVID-8938B516CD96332F08779D49":{"interpretation":"Potential migration-review signal only; this does not prove an external legacy Hive metastore is configured.","metric":"hive_metastore_reference_queries_30","value":0},"EVID-935962377953AEF38189FA9F":{"interpretation":"Tail execution latency guardrail.","metric":"p95_execution_ms_30","value":2400},"EVID-9F356459A3FA55B3F1CB5D7E":{"interpretation":"Non-overlapping inter-query gap sample supporting the auto-stop counterfactual.","metric":"idle_gap_count","value":96},"EVID-AE59227B08C58DEA635C4681":{"interpretation":"Activity density selects the auto-stop target.","metric":"queries_per_active_day_30","value":80.0},"EVID-B90BF660B79B024B199EFC4B":{"interpretation":"Power BI client workload mix context.","metric":"power_bi_queries_30","value":600},"EVID-B990A2C0CB6B6E40A93AD8B6":{"interpretation":"Genie workload mix context.","metric":"genie_queries_30","value":0},"EVID-BA5DFBF6A766BB887B518D2D":{"interpretation":"Configured minimum scale.","metric":"min_clusters","value":1},"EVID-BB0A39E40BDCA511D223ED23":{"interpretation":"Queries that waited for compute; the wait percentile is computed over these queries only.","metric":"compute_wait_queries_30","value":3},"EVID-C1F4909D7B9F54E1D4FE0B08":{"interpretation":"Queue latency guardrail among queued queries.","metric":"p95_wait_capacity_ms_when_queued_30","value":0},"EVID-C39DD2C1AB5242026F7CC137":{"interpretation":"Sustained scale pressure blocks minimum reduction.","metric":"time_at_max_pct","value":0.0},"EVID-CF2C3BD20C77D10B63ED3718":{"interpretation":"Extreme tail execution latency guardrail.","metric":"p99_execution_ms_30","value":8000},"EVID-D6B273BC561A1E053AB22E8C":{"interpretation":"Observed trailing-365-day Databricks SQL list cost attributed to the warehouse.","metric":"actual_dbu_cost_365d","value":10560.0},"EVID-D933EFAFAF243FC9D57DF4B1":{"interpretation":"Configured concurrency ceiling.","metric":"max_clusters","value":2},"EVID-D966A16760B03C5442A116EF":{"interpretation":"Observed billing evidence; not used as current configuration source.","metric":"serverless_usage_pct_365","value":0.0},"EVID-DAD524D94B365093E6990606":{"interpretation":"Compatibility check workspace_serverless_observed returned PASS.","metric":"compatibility.workspace_serverless_observed","value":{"evidence":true,"status":"PASS"}},"EVID-DE3386120F2F186DF02F2001":{"interpretation":"Queries that queued at capacity; the wait percentile is computed over these queries only.","metric":"queued_queries_30","value":0},"EVID-E85A4C9B3B5A439FE6F3D488":{"interpretation":"Compatibility check s3_access_policy_compatibility returned PASS_BY_EXISTING_SERVERLESS.","metric":"compatibility.s3_access_policy_compatibility","value":{"evidence":"UNKNOWN","status":"PASS_BY_EXISTING_SERVERLESS"}},"EVID-EBCE9854B773D00DADF903B9":{"interpretation":"Severity of capacity queueing at p95 among queued queries.","metric":"p95_wait_capacity_ms_when_queued_30","value":0},"EVID-ECEA4B5972B35E88B483B834":{"interpretation":"No-change forward DBU cost forecast anchored to the current configuration epoch.","metric":"forward_dbu_cost_365d","value":12000.0},"EVID-F06B58DBEE8A6313BDCAAB01":{"interpretation":"Cold-start sensitivity guardrail at p95 among queries that waited for compute.","metric":"p95_wait_compute_ms_when_waited_30","value":3500},"EVID-F50B89D1981BBC41BE24B65F":{"interpretation":"Compatibility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regions.","region":"us-east-1"},"status":"PASS"}},"EVID-FD5E9C86633A3F34080BECF7":{"interpretation":"Restart frequency guardrail.","metric":"starts_per_active_day_30","value":0.1}}</t>
        </is>
      </c>
    </row>
    <row r="12" ht="24" customHeight="1">
      <c r="A12" s="14" t="inlineStr">
        <is>
          <t>PKG-127DD763EAF773382520242A</t>
        </is>
      </c>
      <c r="B12" s="14" t="inlineStr">
        <is>
          <t>1234567890123456</t>
        </is>
      </c>
      <c r="C12" s="14" t="inlineStr">
        <is>
          <t>wh-synth-008</t>
        </is>
      </c>
      <c r="D12" s="15" t="inlineStr">
        <is>
          <t>Serverless Analytics</t>
        </is>
      </c>
      <c r="E12" s="16" t="inlineStr">
        <is>
          <t>serverless-analytics@databricks.example</t>
        </is>
      </c>
      <c r="F12" s="16" t="inlineStr">
        <is>
          <t>us-east-1</t>
        </is>
      </c>
      <c r="G12" s="14" t="inlineStr">
        <is>
          <t>EPOCH-A2B21AACB14B0C5F3EA18AB5</t>
        </is>
      </c>
      <c r="H12" s="17" t="n">
        <v>269</v>
      </c>
      <c r="I12" s="16" t="inlineStr">
        <is>
          <t>DASHBOARD</t>
        </is>
      </c>
      <c r="J12" s="17" t="n">
        <v>22000</v>
      </c>
      <c r="K12" s="17" t="n">
        <v>30</v>
      </c>
      <c r="L12" s="18" t="inlineStr">
        <is>
          <t>SERVERLESS</t>
        </is>
      </c>
      <c r="M12" s="18" t="inlineStr">
        <is>
          <t>MEDIUM</t>
        </is>
      </c>
      <c r="N12" s="17" t="n">
        <v>1</v>
      </c>
      <c r="O12" s="17" t="n">
        <v>10</v>
      </c>
      <c r="P12" s="17" t="n">
        <v>10</v>
      </c>
      <c r="Q12" s="18" t="inlineStr">
        <is>
          <t>CURRENT</t>
        </is>
      </c>
      <c r="R12" s="18" t="inlineStr">
        <is>
          <t>ENABLED</t>
        </is>
      </c>
      <c r="S12" s="16" t="inlineStr">
        <is>
          <t>USD</t>
        </is>
      </c>
      <c r="T12" s="19" t="n">
        <v>45760</v>
      </c>
      <c r="U12" s="19" t="n">
        <v>0</v>
      </c>
      <c r="V12" s="19" t="n">
        <v>45760</v>
      </c>
      <c r="W12" s="19" t="n">
        <v>52000</v>
      </c>
      <c r="X12" s="19" t="n">
        <v>0</v>
      </c>
      <c r="Y12" s="19" t="n">
        <v>52000</v>
      </c>
      <c r="Z12" s="18" t="inlineStr">
        <is>
          <t>SAVINGS</t>
        </is>
      </c>
      <c r="AA12" s="19" t="n">
        <v>-36993.78</v>
      </c>
      <c r="AB12" s="19" t="n">
        <v>18200</v>
      </c>
      <c r="AC12" s="19" t="n">
        <v>29751.56</v>
      </c>
      <c r="AD12" s="19" t="n">
        <v>22248.44</v>
      </c>
      <c r="AE12" s="19" t="n">
        <v>33800</v>
      </c>
      <c r="AF12" s="19" t="n">
        <v>88993.78</v>
      </c>
      <c r="AG12" s="20" t="n">
        <v>0.35</v>
      </c>
      <c r="AH12" s="14" t="inlineStr">
        <is>
          <t>SCN-EFE76D0072038BA31048924A</t>
        </is>
      </c>
      <c r="AI12" s="15" t="inlineStr">
        <is>
          <t>Plan A — Optimize current warehouse type</t>
        </is>
      </c>
      <c r="AJ12" s="16" t="inlineStr">
        <is>
          <t>IN_PLACE_OPTIMIZATION</t>
        </is>
      </c>
      <c r="AK12" s="18" t="inlineStr">
        <is>
          <t>MEDIUM</t>
        </is>
      </c>
      <c r="AL12" s="21" t="n">
        <v>0.78</v>
      </c>
      <c r="AM12" s="15" t="inlineStr">
        <is>
          <t>RUN_WAREHOUSE_SIZE_CANARY</t>
        </is>
      </c>
      <c r="AN12" s="18" t="b">
        <v>1</v>
      </c>
      <c r="AO12" s="16" t="inlineStr">
        <is>
          <t>OPTIMIZATION_AVAILABLE</t>
        </is>
      </c>
      <c r="AP12" s="16" t="inlineStr">
        <is>
          <t>SUFFICIENT</t>
        </is>
      </c>
      <c r="AQ12" s="18" t="inlineStr">
        <is>
          <t>HIGH</t>
        </is>
      </c>
      <c r="AR12" s="17" t="n">
        <v>6</v>
      </c>
      <c r="AS12" s="17" t="n">
        <v>1</v>
      </c>
      <c r="AT12" s="17" t="n">
        <v>2</v>
      </c>
      <c r="AU12" s="17" t="n">
        <v>0</v>
      </c>
      <c r="AV12" s="17" t="n">
        <v>0</v>
      </c>
      <c r="AW12" s="17" t="n">
        <v>3</v>
      </c>
      <c r="AX12" s="17" t="n">
        <v>0</v>
      </c>
      <c r="AY12" s="17" t="n">
        <v>0</v>
      </c>
      <c r="AZ12" s="16" t="inlineStr">
        <is>
          <t>Size MEDIUM→SMALL [TEST_REQUIRED] | Max 10→5 [ACTIONABLE] | Min 1 [NO_CHANGE] | Auto-stop 10 [NO_CHANGE] | Type SERVERLESS→PRO [TEST_REQUIRED] | Channel CURRENT [NO_CHANGE]</t>
        </is>
      </c>
      <c r="BA12" s="16" t="inlineStr">
        <is>
          <t>Plan A — Optimize current warehouse type | 1. warehouse_size MEDIUM→SMALL [READY_FOR_CANARY]; priced AUTHORITATIVE | 2. max_clusters 10→5 [PENDING_REEVALUATION]; priced CONTINGENT | 3. REMEASURE_AND_REGENERATE [REQUIRED]; remeasure 7d</t>
        </is>
      </c>
      <c r="BB12" s="22" t="inlineStr">
        <is>
          <t>{"client_applications":{"POWER_BI":{"query_count":5500},"SQL_EDITOR":{"query_count":1760}},"multi_label":true,"query_sources":{"ALERT":{"query_count":0,"query_pct":0.0},"DASHBOARD":{"query_count":16500,"query_pct":75.0},"GENIE":{"query_count":0,"query_pct":0.0},"JOB":{"query_count":0,"query_pct":0.0},"NOTEBOOK":{"query_count":0,"query_pct":0.0},"SQL_EDITOR":{"query_count":1760,"query_pct":8.0}},"workload_characteristics":{"activity_pattern":"CONTINUOUS","concurrency_pattern":"STEADY","latency_class":"INTERACTIVE"}}</t>
        </is>
      </c>
      <c r="BC12" s="22" t="inlineStr">
        <is>
          <t>["SCN-EFE76D0072038BA31048924A","SCN-0DE5AFA24E42CA4905AA2E90"]</t>
        </is>
      </c>
      <c r="BD12" s="22" t="inlineStr">
        <is>
          <t>["CAND-8AE2220BFA703CEB2977138F","CAND-8CF2F68ED84D562D3D9E5560","CAND-D7E581D7637D85BCED1CACDC","CAND-B9252C817CCDE26D5CB43B2C","CAND-EB4C0826388DAF0095655F04","CAND-FF7A26AD3267B8B24B7DDE29"]</t>
        </is>
      </c>
      <c r="BE12" s="22" t="inlineStr">
        <is>
          <t>packages/1234567890123456__wh-synth-008.json</t>
        </is>
      </c>
      <c r="BF12" s="22" t="inlineStr">
        <is>
          <t>{"EVID-010ABDFA627B23B226A3DE39":{"interpretation":"Power BI client workload mix context.","metric":"power_bi_queries_30","value":5500},"EVID-01337F937AD5E33DC77EC575":{"interpretation":"Cold-start sensitivity guardrail at p95 among queries that waited for compute.","metric":"p95_wait_compute_ms_when_waited_30","value":0},"EVID-0183D69D139344A5B63A4692":{"interpretation":"Concurrency pressure during the decision window.","metric":"queued_query_pct_30","value":0.0},"EVID-0A5EDD910EDA6604A2135A12":{"interpretation":"Queries that queued at capacity; the wait percentile is computed over these queries only.","metric":"queued_queries_30","value":0},"EVID-0B2D8687B4C5CC349527EF25":{"interpretation":"I/O cache evidence for HITL context; not a v2 size decision threshold.","metric":"avg_read_io_cache_percent_30","value":35.0},"EVID-0EFC69DD796CDB2BB3A26C05":{"interpretation":"Highest observed scale level.","metric":"max_observed_clusters","value":4},"EVID-1116318FCAEEE6C427983F44":{"interpretation":"Queue guardrail before reducing baseline capacity.","metric":"queued_query_pct_30","value":0.0},"EVID-13EB4B4FF84410D28683254C":{"interpretation":"Queue latency guardrail among queued queries.","metric":"p95_wait_capacity_ms_when_queued_30","value":0},"EVID-1556195FEAB1A5CF132FC710":{"interpretation":"Extreme tail execution latency guardrail.","metric":"p99_execution_ms_30","value":5500},"EVID-163D38CEFC5E02464C492820":{"interpretation":"Observed resource-time basis used to convert idle time into cost effect.","metric":"cluster_minutes","value":56000.0},"EVID-16D2A9F49BA8DA0CCB7F9646":{"interpretation":"Queries that waited for compute; the wait percentile is computed over these queries only.","metric":"compute_wait_queries_30","value":0},"EVID-16F87622F0D96D469B6496DA":{"interpretation":"Severity of capacity queueing at p95 among queued queries.","metric":"p95_wait_capacity_ms_when_queued_30","value":0},"EVID-21334DD8CB15A285F6C275C3":{"interpretation":"Sustained scale pressure blocks minimum reduction.","metric":"time_at_max_pct","value":0.0},"EVID-2990A0D93C8B36C0E61B4460":{"interpretation":"Severity of spill at p95 among queries that spilled.","metric":"p95_spill_bytes_when_spilled_30","value":0},"EVID-2EA82A5DF902436D5F2AC6F5":{"interpretation":"Genie workload mix context.","metric":"genie_queries_30","value":0},"EVID-2F0017120F12F15E975E9770":{"interpretation":"Frequency of capacity queueing.","metric":"queued_query_pct_30","value":0.0},"EVID-33E061A2CE91CD7F047CEC55":{"interpretation":"Notebook workload mix context.","metric":"notebook_queries_30","value":0},"EVID-3643FB63351B00006C91E749":{"interpretation":"Tail execution latency guardrail.","metric":"p95_execution_ms_30","value":1800},"EVID-399A9B3F6C7C397202C68C56":{"interpretation":"Coverage available for deterministic pattern checks. Raw SQL text is not exported.","metric":"statement_text_visible_pct_30","value":100.0},"EVID-4253557C05392B6E40ABDFE2":{"interpretation":"Tableau client workload mix context.","metric":"tableau_queries_30","value":0},"EVID-525CBF587D31215B90EBF9D6":{"interpretation":"Current release channel from the current configuration epoch.","metric":"warehouse_channel","value":"CURRENT"},"EVID-5608F7EDDD7A89A523D78D43":{"interpretation":"Configured concurrency ceiling.","metric":"max_clusters","value":10},"EVID-5DEEAD19532E64C0BBBA64A9":{"interpretation":"Observed billing evidence; not used as current configuration source.","metric":"serverless_usage_pct_365","value":100.0},"EVID-6767B2DC53AFEA546EA87194":{"interpretation":"Configured minimum scale.","metric":"min_clusters","value":1},"EVID-6B64C5D537A164CF2D9E9E83":{"interpretation":"Queries that spilled; the spill severity percentile is computed over these queries only.","metric":"spill_queries_30","value":0},"EVID-7509E42EBDD3C2025EEECD35":{"interpretation":"Calendar-day coverage available to the forward cost model.","metric":"cost_history_days","value":269},"EVID-798F548D6E877B362DF24116":{"interpretation":"How often the warehouse sits at its minimum.","metric":"time_at_min_pct","value":0.0},"EVID-7C38C1C5C0A50E5541957C70":{"interpretation":"Current warehouse size.","metric":"warehouse_size","value":"MEDIUM"},"EVID-82C9597A7E863C89ACD47773":{"interpretation":"Activity density selects the auto-stop target.","metric":"queries_per_active_day_30","value":733.33},"EVID-8D49DCB561BC25C03FAD67EC":{"interpretation":"Job workload mix context.","metric":"job_queries_30","value":0},"EVID-9497EEFAC96FC0FF43049E5A":{"interpretation":"Frequency of queries spilling to local storage.","metric":"spill_query_pct_30","value":0.0},"EVID-998294748DD31CF5089C376A":{"interpretation":"Query-tag coverage supplied to HITL for workload attribution and migration validation.","metric":"tagged_query_pct_30","value":70.0},"EVID-9A80D9741075BE7C0A437259":{"interpretation":"Non-overlapping inter-query gap sample supporting the auto-stop counterfactual.","metric":"idle_gap_count","value":880},"EVID-A2CEA2EBAACB0B0BC33FA08F":{"interpretation":"Compatibility check aws_price_registry_region returned PASS.","metric":"compatibility.aws_price_registry_region","value":{"evidence":"us-east-1","status":"PASS"}},"EVID-A8308230B1476EEE1C7C1CD8":{"interpretation":"Current warehouse type.","metric":"warehouse_type","value":"SERVERLESS"},"EVID-A8BF0B9309250A74132C5EBD":{"interpretation":"Compatibility check workspace_pro_classic_observed returned PASS.","metric":"compatibility.workspace_pro_classic_observed","value":{"evidence":true,"status":"PASS"}},"EVID-AA18BAE8BDFA353021FAA175":{"interpretation":"Current idle termination setting versus deterministic policy target.","metric":"auto_stop_minutes","value":10},"EVID-AC8BB4FF1601DC693A4FC67D":{"interpretation":"Observed trailing-365-day Databricks SQL list cost attributed to the warehouse.","metric":"actual_dbu_cost_365d","value":45760.0},"EVID-AEC33BC02A330A7D397D1BA5":{"interpretation":"Forward customer AWS infrastructure cost model for the current configuration epoch; null when unavailable.","metric":"forward_aws_cost_365d","value":0.0},"EVID-B6F105CC07A5E815778807D4":{"interpretation":"Databricks SQL editor/query workload mix context.","metric":"sql_editor_queries_30","value":1760},"EVID-B8F98E64B70FB348AB5F2BB4":{"interpretation":"Dashboard workload mix context.","metric":"dashboard_queries_30","value":16500},"EVID-C1EF897F2209F5020FC5E87C":{"interpretation":"Fraction of running time at configured maximum.","metric":"time_at_max_pct","value":0.0},"EVID-D29755684368C6080721CFC3":{"interpretation":"Potential migration-review signal only; this does not prove an external legacy Hive metastore is configured.","metric":"hive_metastore_reference_queries_30","value":0},"EVID-D60301ABD8C8BE18489743FD":{"interpretation":"Alert workload mix context.","metric":"alert_queries_30","value":0},"EVID-D9753C2D5E31F0E204F772E6":{"interpretation":"No-change forward DBU cost forecast anchored to the current configuration epoch.","metric":"forward_dbu_cost_365d","value":52000.0},"EVID-DA3CD5BE88644D557E028E6B":{"interpretation":"Compatibility check pro_warehouse_type_enabled returned PASS.","metric":"compatibility.pro_warehouse_type_enabled","value":{"evidence":true,"status":"PASS"}},"EVID-DB06FB4F1E8030A7C256EE4C":{"interpretation":"Estimated additional off-time at the candidate target.","metric":"estimated_additional_off_minutes","value":1920.0},"EVID-F4D8D4F24B968E2BDE359E7B":{"interpretation":"Restart frequency guardrail.","metric":"starts_per_active_day_30","value":0.0}}</t>
        </is>
      </c>
    </row>
    <row r="13" ht="24" customHeight="1">
      <c r="A13" s="14" t="inlineStr">
        <is>
          <t>PKG-B2D290A3E27C723FA701C058</t>
        </is>
      </c>
      <c r="B13" s="14" t="inlineStr">
        <is>
          <t>2234567890123456</t>
        </is>
      </c>
      <c r="C13" s="14" t="inlineStr">
        <is>
          <t>wh-synth-010</t>
        </is>
      </c>
      <c r="D13" s="15" t="inlineStr">
        <is>
          <t>Cold Start BI</t>
        </is>
      </c>
      <c r="E13" s="16" t="inlineStr">
        <is>
          <t>bi-platform@databricks.example</t>
        </is>
      </c>
      <c r="F13" s="16" t="inlineStr">
        <is>
          <t>us-east-1</t>
        </is>
      </c>
      <c r="G13" s="14" t="inlineStr">
        <is>
          <t>EPOCH-C7F9B1F0FFBC8326294AA75D</t>
        </is>
      </c>
      <c r="H13" s="17" t="n">
        <v>249</v>
      </c>
      <c r="I13" s="16" t="inlineStr">
        <is>
          <t>DASHBOARD</t>
        </is>
      </c>
      <c r="J13" s="17" t="n">
        <v>4800</v>
      </c>
      <c r="K13" s="17" t="n">
        <v>30</v>
      </c>
      <c r="L13" s="18" t="inlineStr">
        <is>
          <t>PRO</t>
        </is>
      </c>
      <c r="M13" s="18" t="inlineStr">
        <is>
          <t>MEDIUM</t>
        </is>
      </c>
      <c r="N13" s="17" t="n">
        <v>1</v>
      </c>
      <c r="O13" s="17" t="n">
        <v>4</v>
      </c>
      <c r="P13" s="17" t="n">
        <v>120</v>
      </c>
      <c r="Q13" s="18" t="inlineStr">
        <is>
          <t>CURRENT</t>
        </is>
      </c>
      <c r="R13" s="18" t="inlineStr">
        <is>
          <t>ENABLED</t>
        </is>
      </c>
      <c r="S13" s="16" t="inlineStr">
        <is>
          <t>USD</t>
        </is>
      </c>
      <c r="T13" s="19" t="n">
        <v>14960</v>
      </c>
      <c r="U13" s="19" t="inlineStr">
        <is>
          <t>UNAVAILABLE</t>
        </is>
      </c>
      <c r="V13" s="19" t="inlineStr">
        <is>
          <t>UNAVAILABLE</t>
        </is>
      </c>
      <c r="W13" s="19" t="n">
        <v>17000</v>
      </c>
      <c r="X13" s="19" t="n">
        <v>5488.19</v>
      </c>
      <c r="Y13" s="19" t="n">
        <v>22488.19</v>
      </c>
      <c r="Z13" s="18" t="inlineStr">
        <is>
          <t>SAVINGS</t>
        </is>
      </c>
      <c r="AA13" s="19" t="n">
        <v>3987.46</v>
      </c>
      <c r="AB13" s="19" t="n">
        <v>6971.45</v>
      </c>
      <c r="AC13" s="19" t="n">
        <v>14279.35</v>
      </c>
      <c r="AD13" s="19" t="n">
        <v>8208.84</v>
      </c>
      <c r="AE13" s="19" t="n">
        <v>15516.74</v>
      </c>
      <c r="AF13" s="19" t="n">
        <v>18500.73</v>
      </c>
      <c r="AG13" s="20" t="n">
        <v>0.310005</v>
      </c>
      <c r="AH13" s="14" t="inlineStr">
        <is>
          <t>SCN-2AD1B1369F3CA903C33A7F0A</t>
        </is>
      </c>
      <c r="AI13" s="15" t="inlineStr">
        <is>
          <t>Plan A — Optimize current warehouse type</t>
        </is>
      </c>
      <c r="AJ13" s="16" t="inlineStr">
        <is>
          <t>IN_PLACE_OPTIMIZATION</t>
        </is>
      </c>
      <c r="AK13" s="18" t="inlineStr">
        <is>
          <t>MEDIUM</t>
        </is>
      </c>
      <c r="AL13" s="21" t="n">
        <v>0.78</v>
      </c>
      <c r="AM13" s="15" t="inlineStr">
        <is>
          <t>RUN_WAREHOUSE_SIZE_CANARY</t>
        </is>
      </c>
      <c r="AN13" s="18" t="b">
        <v>1</v>
      </c>
      <c r="AO13" s="16" t="inlineStr">
        <is>
          <t>OPTIMIZATION_AVAILABLE</t>
        </is>
      </c>
      <c r="AP13" s="16" t="inlineStr">
        <is>
          <t>SUFFICIENT</t>
        </is>
      </c>
      <c r="AQ13" s="18" t="inlineStr">
        <is>
          <t>HIGH</t>
        </is>
      </c>
      <c r="AR13" s="17" t="n">
        <v>6</v>
      </c>
      <c r="AS13" s="17" t="n">
        <v>1</v>
      </c>
      <c r="AT13" s="17" t="n">
        <v>2</v>
      </c>
      <c r="AU13" s="17" t="n">
        <v>0</v>
      </c>
      <c r="AV13" s="17" t="n">
        <v>1</v>
      </c>
      <c r="AW13" s="17" t="n">
        <v>2</v>
      </c>
      <c r="AX13" s="17" t="n">
        <v>0</v>
      </c>
      <c r="AY13" s="17" t="n">
        <v>0</v>
      </c>
      <c r="AZ13" s="16" t="inlineStr">
        <is>
          <t>Size MEDIUM→SMALL [TEST_REQUIRED] | Max 4→3 [ACTIONABLE] | Min 1 [NO_CHANGE] | Auto-stop 120→30 [BLOCKED] | Type PRO→SERVERLESS [TEST_REQUIRED] | Channel CURRENT [NO_CHANGE]</t>
        </is>
      </c>
      <c r="BA13" s="16" t="inlineStr">
        <is>
          <t>Plan A — Optimize current warehouse type | 1. warehouse_size MEDIUM→SMALL [READY_FOR_CANARY]; priced AUTHORITATIVE | 2. max_clusters 4→3 [PENDING_REEVALUATION]; priced CONTINGENT | 3. REMEASURE_AND_REGENERATE [REQUIRED]; remeasure 7d</t>
        </is>
      </c>
      <c r="BB13" s="22" t="inlineStr">
        <is>
          <t>{"client_applications":{"POWER_BI":{"query_count":1200},"SQL_EDITOR":{"query_count":384}},"multi_label":true,"query_sources":{"ALERT":{"query_count":0,"query_pct":0.0},"DASHBOARD":{"query_count":3600,"query_pct":75.0},"GENIE":{"query_count":0,"query_pct":0.0},"JOB":{"query_count":0,"query_pct":0.0},"NOTEBOOK":{"query_count":0,"query_pct":0.0},"SQL_EDITOR":{"query_count":384,"query_pct":8.0}},"workload_characteristics":{"activity_pattern":"CONTINUOUS","concurrency_pattern":"STEADY","latency_class":"INTERACTIVE"}}</t>
        </is>
      </c>
      <c r="BC13" s="22" t="inlineStr">
        <is>
          <t>["SCN-2AD1B1369F3CA903C33A7F0A","SCN-DB87EC8AF05431F8208079A0"]</t>
        </is>
      </c>
      <c r="BD13" s="22" t="inlineStr">
        <is>
          <t>["CAND-8C1381C8202F9B850CD6E472","CAND-B91739B640B2882103617ADC","CAND-1416408891B7644B4B970F3D","CAND-EB204DD074336232DC0C1B6A","CAND-FBB76A767C22C2098918D09A","CAND-E299C12314806ACD8AA15BB6"]</t>
        </is>
      </c>
      <c r="BE13" s="22" t="inlineStr">
        <is>
          <t>packages/2234567890123456__wh-synth-010.json</t>
        </is>
      </c>
      <c r="BF13" s="22" t="inlineStr">
        <is>
          <t>{"EVID-079EAA62D4D2463F280DD636":{"interpretation":"Observed billing evidence; not used as current configuration source.","metric":"serverless_usage_pct_365","value":0.0},"EVID-0C21797178BF0546053B9CCA":{"interpretation":"Compatibility check legacy_hive_metastore_sql_reference returned PASS_WITH_LIMITATION.","metric":"compatibility.legacy_hive_metastore_sql_reference","value":{"evidence":{"reference_queries":0,"visible_pct":100.0},"status":"PASS_WITH_LIMITATION"}},"EVID-0C4E337F432378BC4ABF82BB":{"interpretation":"Non-overlapping inter-query gap sample supporting the auto-stop counterfactual.","metric":"idle_gap_count","value":192},"EVID-262B6F32A3311EAB0AEA956E":{"interpretation":"Activity density selects the auto-stop target.","metric":"queries_per_active_day_30","value":160.0},"EVID-28C27F2BFF375CFAC3A26164":{"interpretation":"Queries that queued at capacity; the wait percentile is computed over these queries only.","metric":"queued_queries_30","value":0},"EVID-2C06AAF783B5BE4F07CD8F11":{"interpretation":"Compatibility check workspace_serverless_observed returned UNKNOWN.","metric":"compatibility.workspace_serverless_observed","value":{"evidence":false,"status":"UNKNOWN"}},"EVID-32637602B73B998E62D2015F":{"interpretation":"Alert workload mix context.","metric":"alert_queries_30","value":0},"EVID-35D18D87479D58503717BE9C":{"interpretation":"Potential migration-review signal only; this does not prove an external legacy Hive metastore is configured.","metric":"hive_metastore_reference_queries_30","value":0},"EVID-3B0B5CEA1E220C0A96409685":{"interpretation":"Databricks SQL editor/query workload mix context.","metric":"sql_editor_queries_30","value":384},"EVID-407FA82F270C2032644D2CE0":{"interpretation":"Queries that spilled; the spill severity percentile is computed over these queries only.","metric":"spill_queries_30","value":0},"EVID-4358A7777647777705B43015":{"interpretation":"Restart frequency guardrail.","metric":"starts_per_active_day_30","value":0.8},"EVID-44CB7956DAC1F37994F238B8":{"interpretation":"Configured concurrency ceiling.","metric":"max_clusters","value":4},"EVID-45CE0E82B14BDBD37414D241":{"interpretation":"Current release channel from the current configuration epoch.","metric":"warehouse_channel","value":"CURRENT"},"EVID-4C5F394CE1E66392DB372C0E":{"interpretation":"Observed resource-time basis used to convert idle time into cost effect.","metric":"cluster_minutes","value":30000.0},"EVID-4DF6E5161EC835521DB08092":{"interpretation":"Tableau client workload mix context.","metric":"tableau_queries_30","value":0},"EVID-50AC4F920960AAFFE49D6C13":{"interpretation":"Compatibility check workspace_serverless_enablement returned PASS.","metric":"compatibility.workspace_serverless_enablement","value":{"evidence":true,"status":"PASS"}},"EVID-544F97BCD83FF9A97476FE07":{"interpretation":"No-change forward DBU cost forecast anchored to the current configuration epoch.","metric":"forward_dbu_cost_365d","value":17000.0},"EVID-5755982F8C3E87CBDBBD762F":{"interpretation":"Queries that waited for compute; the wait percentile is computed over these queries only.","metric":"compute_wait_queries_30","value":24},"EVID-576AD0041E307AD0E98A8B99":{"interpretation":"Sustained scale pressure blocks minimum reduction.","metric":"time_at_max_pct","value":0.0},"EVID-5C0183A03D3EB756B2D7C05E":{"interpretation":"Highest observed scale level.","metric":"max_observed_clusters","value":2},"EVID-605B6814A4D4E829CB5A5B66":{"interpretation":"Tail execution latency guardrail.","metric":"p95_execution_ms_30","value":3000},"EVID-7BBFE58EB390ED9CE470DDBA":{"interpretation":"Dashboard workload mix context.","metric":"dashboard_queries_30","value":3600},"EVID-7F5D9CC3A93CF86EA6D35DFB":{"interpretation":"Compatibility check external_legacy_hive_metastore_workspace_setting returned PASS.","metric":"compatibility.external_legacy_hive_metastore_workspace_setting","value":{"evidence":{"config_keys":[],"detected":false},"status":"PASS"}},"EVID-82F2F544BF285E0D48F629A2":{"interpretation":"Configured minimum scale.","metric":"min_clusters","value":1},"EVID-8E55818AEA4051473E4E572D":{"interpretation":"Frequency of queries spilling to local storage.","metric":"spill_query_pct_30","value":0.0},"EVID-94494E609884DD1061A1BAE8":{"interpretation":"Query-tag coverage supplied to HITL for workload attribution and migration validation.","metric":"tagged_query_pct_30","value":70.0},"EVID-95D1B823E29837B625350057":{"interpretation":"Queue latency guardrail among queued queries.","metric":"p95_wait_capacity_ms_when_queued_30","value":0},"EVID-95F3AEE2D4248F3B8729BE25":{"interpretation":"Severity of spill at p95 among queries that spilled.","metric":"p95_spill_bytes_when_spilled_30","value":0},"EVID-B07C2C16B6BD9A10981E2118":{"interpretation":"Current warehouse size.","metric":"warehouse_size","value":"MEDIUM"},"EVID-B9FCE9EF48F56612B7574032":{"interpretation":"How often the warehouse sits at its minimum.","metric":"time_at_min_pct","value":60.0},"EVID-C2BC28961D71AEE7B4624583":{"interpretation":"Frequency of capacity queueing.","metric":"queued_query_pct_30","value":0.0},"EVID-C2CD370AACFD9F2B4229945B":{"interpretation":"Queue guardrail before reducing baseline capacity.","metric":"queued_query_pct_30","value":0.0},"EVID-C58346E61AE97D4F760ABDBD":{"interpretation":"Concurrency pressure during the decision window.","metric":"queued_query_pct_30","value":0.0},"EVID-CCA0AB4C53A92C8B3916ABDA":{"interpretation":"Calendar-day coverage available to the forward cost model.","metric":"cost_history_days","value":249},"EVID-CEE3C740E46B3ED08A890FD4":{"interpretation":"Fraction of running time at configured maximum.","metric":"time_at_max_pct","value":0.0},"EVID-D5CE70495019334C5543184A":{"interpretation":"Extreme tail execution latency guardrail.","metric":"p99_execution_ms_30","value":9000},"EVID-D69EE6A78CC33EAA81289A91":{"interpretation":"Current warehouse type.","metric":"warehouse_type","value":"PRO"},"EVID-E21F9261CD31D2A21EF533E4":{"interpretation":"Forward customer AWS infrastructure cost model for the current configuration epoch; null when unavailable.","metric":"forward_aws_cost_365d","value":5488.19},"EVID-E548109D2824FF6673337CE2":{"interpretation":"Notebook workload mix context.","metric":"notebook_queries_30","value":0},"EVID-E6F82DE3524205296B0288DB":{"interpretation":"Compatibility check s3_access_policy_compatibility returned UNKNOWN.","metric":"compatibility.s3_access_policy_compatibility","value":{"evidence":"UNKNOWN","status":"UNKNOWN"}},"EVID-E7AE32B925F94500C2F12FF9":{"interpretation":"I/O cache evidence for HITL context; not a v2 size decision threshold.","metric":"avg_read_io_cache_percent_30","value":35.0},"EVID-EDC048377DB26691E0C059FB":{"interpretation":"Cold-start sensitivity guardrail at p95 among queries that waited for compute.","metric":"p95_wait_compute_ms_when_waited_30","value":85000},"EVID-EDD11801F242C17DD64F2799":{"interpretation":"Estimated additional off-time at the candidate target.","metric":"estimated_additional_off_minutes","value":7920.0},"EVID-F061026BE78747696C1238CE":{"interpretation":"Current idle termination setting versus deterministic policy target.","metric":"auto_stop_minutes","value":120},"EVID-F48024947EFAAED048529938":{"interpretation":"Severity of capacity queueing at p95 among queued queries.","metric":"p95_wait_capacity_ms_when_queued_30","value":0},"EVID-F62D3E7730D5A803CE342120":{"interpretation":"Coverage available for deterministic pattern checks. Raw SQL text is not exported.","metric":"statement_text_visible_pct_30","value":100.0},"EVID-F6A16121002CAEDD32814FF8":{"interpretation":"Observed trailing-365-day Databricks SQL list cost attributed to the warehouse.","metric":"actual_dbu_cost_365d","value":14960.0},"EVID-FA09B298BBED0188E79849C7":{"interpretation":"Job workload mix context.","metric":"job_queries_30","value":0},"EVID-FA632D73262B55CF827D5211":{"interpretation":"Compatibility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regions.","region":"us-east-1"},"status":"PASS"}},"EVID-FD670F422E4B757BEE0194C6":{"interpretation":"Power BI client workload mix context.","metric":"power_bi_queries_30","value":1200},"EVID-FE12840F9CF6363CB2E50AE5":{"interpretation":"Genie workload mix context.","metric":"genie_queries_30","value":0}}</t>
        </is>
      </c>
    </row>
    <row r="14" ht="24" customHeight="1">
      <c r="A14" s="14" t="inlineStr">
        <is>
          <t>PKG-07F463C0C249905A57984274</t>
        </is>
      </c>
      <c r="B14" s="14" t="inlineStr">
        <is>
          <t>2234567890123456</t>
        </is>
      </c>
      <c r="C14" s="14" t="inlineStr">
        <is>
          <t>wh-synth-013</t>
        </is>
      </c>
      <c r="D14" s="15" t="inlineStr">
        <is>
          <t>Customer 360</t>
        </is>
      </c>
      <c r="E14" s="16" t="inlineStr">
        <is>
          <t>customer360@databricks.example</t>
        </is>
      </c>
      <c r="F14" s="16" t="inlineStr">
        <is>
          <t>us-east-1</t>
        </is>
      </c>
      <c r="G14" s="14" t="inlineStr">
        <is>
          <t>EPOCH-9A590817DDA0E60A1AD14A66</t>
        </is>
      </c>
      <c r="H14" s="17" t="n">
        <v>262</v>
      </c>
      <c r="I14" s="16" t="inlineStr">
        <is>
          <t>JOB</t>
        </is>
      </c>
      <c r="J14" s="17" t="n">
        <v>9800</v>
      </c>
      <c r="K14" s="17" t="n">
        <v>30</v>
      </c>
      <c r="L14" s="18" t="inlineStr">
        <is>
          <t>PRO</t>
        </is>
      </c>
      <c r="M14" s="18" t="inlineStr">
        <is>
          <t>LARGE</t>
        </is>
      </c>
      <c r="N14" s="17" t="n">
        <v>2</v>
      </c>
      <c r="O14" s="17" t="n">
        <v>8</v>
      </c>
      <c r="P14" s="17" t="n">
        <v>45</v>
      </c>
      <c r="Q14" s="18" t="inlineStr">
        <is>
          <t>CURRENT</t>
        </is>
      </c>
      <c r="R14" s="18" t="inlineStr">
        <is>
          <t>ENABLED</t>
        </is>
      </c>
      <c r="S14" s="16" t="inlineStr">
        <is>
          <t>USD</t>
        </is>
      </c>
      <c r="T14" s="19" t="n">
        <v>51040</v>
      </c>
      <c r="U14" s="19" t="inlineStr">
        <is>
          <t>UNAVAILABLE</t>
        </is>
      </c>
      <c r="V14" s="19" t="inlineStr">
        <is>
          <t>UNAVAILABLE</t>
        </is>
      </c>
      <c r="W14" s="19" t="n">
        <v>58000</v>
      </c>
      <c r="X14" s="19" t="n">
        <v>37670.23</v>
      </c>
      <c r="Y14" s="19" t="n">
        <v>95670.23</v>
      </c>
      <c r="Z14" s="18" t="inlineStr">
        <is>
          <t>COST_INCREASE</t>
        </is>
      </c>
      <c r="AA14" s="19" t="n">
        <v>-95670.23</v>
      </c>
      <c r="AB14" s="19" t="n">
        <v>-38268.09</v>
      </c>
      <c r="AC14" s="19" t="n">
        <v>82667.69</v>
      </c>
      <c r="AD14" s="19" t="n">
        <v>13002.54</v>
      </c>
      <c r="AE14" s="19" t="n">
        <v>133938.32</v>
      </c>
      <c r="AF14" s="19" t="n">
        <v>191340.46</v>
      </c>
      <c r="AG14" s="20" t="n">
        <v>-0.4</v>
      </c>
      <c r="AH14" s="14" t="inlineStr">
        <is>
          <t>SCN-3ADBD372252C701E8605FDBF</t>
        </is>
      </c>
      <c r="AI14" s="15" t="inlineStr">
        <is>
          <t>Plan A — Optimize current warehouse type</t>
        </is>
      </c>
      <c r="AJ14" s="16" t="inlineStr">
        <is>
          <t>IN_PLACE_OPTIMIZATION</t>
        </is>
      </c>
      <c r="AK14" s="18" t="inlineStr">
        <is>
          <t>HIGH</t>
        </is>
      </c>
      <c r="AL14" s="21" t="n">
        <v>0.93</v>
      </c>
      <c r="AM14" s="15" t="inlineStr">
        <is>
          <t>REVIEW_AND_EXECUTE_FIRST_READY_STEP</t>
        </is>
      </c>
      <c r="AN14" s="18" t="b">
        <v>1</v>
      </c>
      <c r="AO14" s="16" t="inlineStr">
        <is>
          <t>OPTIMIZATION_AVAILABLE</t>
        </is>
      </c>
      <c r="AP14" s="16" t="inlineStr">
        <is>
          <t>SUFFICIENT</t>
        </is>
      </c>
      <c r="AQ14" s="18" t="inlineStr">
        <is>
          <t>HIGH</t>
        </is>
      </c>
      <c r="AR14" s="17" t="n">
        <v>6</v>
      </c>
      <c r="AS14" s="17" t="n">
        <v>2</v>
      </c>
      <c r="AT14" s="17" t="n">
        <v>1</v>
      </c>
      <c r="AU14" s="17" t="n">
        <v>0</v>
      </c>
      <c r="AV14" s="17" t="n">
        <v>0</v>
      </c>
      <c r="AW14" s="17" t="n">
        <v>3</v>
      </c>
      <c r="AX14" s="17" t="n">
        <v>0</v>
      </c>
      <c r="AY14" s="17" t="n">
        <v>0</v>
      </c>
      <c r="AZ14" s="16" t="inlineStr">
        <is>
          <t>Size LARGE→X_LARGE [ACTIONABLE] | Max 8 [NO_CHANGE] | Min 2 [NO_CHANGE] | Auto-stop 45→30 [ACTIONABLE] | Type PRO→SERVERLESS [TEST_REQUIRED] | Channel CURRENT [NO_CHANGE]</t>
        </is>
      </c>
      <c r="BA14" s="16" t="inlineStr">
        <is>
          <t>Plan A — Optimize current warehouse type | 1. warehouse_size LARGE→X_LARGE [READY]; priced AUTHORITATIVE | 2. auto_stop_minutes 45→30 [PENDING_REEVALUATION]; priced CONTINGENT | 3. REMEASURE_AND_REGENERATE [REQUIRED]; remeasure 7d</t>
        </is>
      </c>
      <c r="BB14" s="22" t="inlineStr">
        <is>
          <t>{"client_applications":{"SQL_EDITOR":{"query_count":784}},"multi_label":true,"query_sources":{"ALERT":{"query_count":0,"query_pct":0.0},"DASHBOARD":{"query_count":0,"query_pct":0.0},"GENIE":{"query_count":0,"query_pct":0.0},"JOB":{"query_count":7350,"query_pct":75.0},"NOTEBOOK":{"query_count":0,"query_pct":0.0},"SQL_EDITOR":{"query_count":784,"query_pct":8.0}},"workload_characteristics":{"activity_pattern":"CONTINUOUS","concurrency_pattern":"MIXED","latency_class":"MIXED"}}</t>
        </is>
      </c>
      <c r="BC14" s="22" t="inlineStr">
        <is>
          <t>["SCN-3ADBD372252C701E8605FDBF","SCN-3B15D95786681E2F1586255E"]</t>
        </is>
      </c>
      <c r="BD14" s="22" t="inlineStr">
        <is>
          <t>["CAND-6DAADF5C7A000999BB0EF2C1","CAND-44783D6FD480C2752BDBEC25","CAND-F66CC7C521D489A9BFE5369C","CAND-062229819F3FCAD00A4C42F2","CAND-184A3C392690D298B3EFD5E3","CAND-D3DD9FFE6744CCBBA9B4F934"]</t>
        </is>
      </c>
      <c r="BE14" s="22" t="inlineStr">
        <is>
          <t>packages/2234567890123456__wh-synth-013.json</t>
        </is>
      </c>
      <c r="BF14" s="22" t="inlineStr">
        <is>
          <t>{"EVID-026EA0A0C1CDA6D5BF6861E0":{"interpretation":"Query-tag coverage supplied to HITL for workload attribution and migration validation.","metric":"tagged_query_pct_30","value":70.0},"EVID-05E65620367F546ED7403371":{"interpretation":"Observed resource-time basis used to convert idle time into cost effect.","metric":"cluster_minutes","value":130000.0},"EVID-100EE4E12A042B6CA6801300":{"interpretation":"Queue guardrail before reducing baseline capacity.","metric":"queued_query_pct_30","value":1.0},"EVID-147B3F71E2FD2C372C751AA6":{"interpretation":"Forward customer AWS infrastructure cost model for the current configuration epoch; null when unavailable.","metric":"forward_aws_cost_365d","value":37670.23},"EVID-14D5F3273317129C41786ABC":{"interpretation":"Restart frequency guardrail.","metric":"starts_per_active_day_30","value":0.1667},"EVID-1BB42907159AF707FE39C5B1":{"interpretation":"How often the warehouse sits at its minimum.","metric":"time_at_min_pct","value":35.0},"EVID-1BFCD956061A5FF8AD162D6A":{"interpretation":"Alert workload mix context.","metric":"alert_queries_30","value":0},"EVID-1C01A17AAD8C207EF44692C1":{"interpretation":"I/O cache evidence for HITL context; not a v2 size decision threshold.","metric":"avg_read_io_cache_percent_30","value":35.0},"EVID-1D9D72AFBDB7C1DC2B552C1B":{"interpretation":"Genie workload mix context.","metric":"genie_queries_30","value":0},"EVID-2805E2CB0E21815B548E32C4":{"interpretation":"Current release channel from the current configuration epoch.","metric":"warehouse_channel","value":"CURRENT"},"EVID-36E316B362E683D130437B68":{"interpretation":"Databricks SQL editor/query workload mix context.","metric":"sql_editor_queries_30","value":784},"EVID-38E4F9656837EFDE5FDBF34F":{"interpretation":"Compatibility check external_legacy_hive_metastore_workspace_setting returned PASS.","metric":"compatibility.external_legacy_hive_metastore_workspace_setting","value":{"evidence":{"config_keys":[],"detected":false},"status":"PASS"}},"EVID-45040C819E97E97C0C3512DD":{"interpretation":"Current warehouse size.","metric":"warehouse_size","value":"LARGE"},"EVID-4A7E1844228F5FD433A998C6":{"interpretation":"Non-overlapping inter-query gap sample supporting the auto-stop counterfactual.","metric":"idle_gap_count","value":392},"EVID-4FC2DA089D8E1230B40C62EC":{"interpretation":"Coverage available for deterministic pattern checks. Raw SQL text is not exported.","metric":"statement_text_visible_pct_30","value":100.0},"EVID-51A58BE39546BE7B080FEF30":{"interpretation":"Notebook workload mix context.","metric":"notebook_queries_30","value":0},"EVID-55EEA56CA02C609E862A91A9":{"interpretation":"Power BI client workload mix context.","metric":"power_bi_queries_30","value":0},"EVID-5701A1693763AB907ED13F14":{"interpretation":"Configured minimum scale.","metric":"min_clusters","value":2},"EVID-5DC3FDBE1BD0729F52CEC22D":{"interpretation":"Job workload mix context.","metric":"job_queries_30","value":7350},"EVID-5DCBE726277C51C2DE2EA638":{"interpretation":"Compatibility check legacy_hive_metastore_sql_reference returned PASS_WITH_LIMITATION.","metric":"compatibility.legacy_hive_metastore_sql_reference","value":{"evidence":{"reference_queries":0,"visible_pct":100.0},"status":"PASS_WITH_LIMITATION"}},"EVID-61487496034534522AE52030":{"interpretation":"Queries that spilled; the spill severity percentile is computed over these queries only.","metric":"spill_queries_30","value":412},"EVID-63B44F71C0B9A791C79ACFAE":{"interpretation":"Queries that waited for compute; the wait percentile is computed over these queries only.","metric":"compute_wait_queries_30","value":5},"EVID-692C1AED9F82E4D968155B44":{"interpretation":"Sustained scale pressure blocks minimum reduction.","metric":"time_at_max_pct","value":15.0},"EVID-774DFFF76A9BF347776727F1":{"interpretation":"Extreme tail execution latency guardrail.","metric":"p99_execution_ms_30","value":36000},"EVID-7A4AC35DF8C26AD31C26B498":{"interpretation":"Fraction of running time at configured maximum.","metric":"time_at_max_pct","value":15.0},"EVID-84BB9FB2CC3C791B8780F9FD":{"interpretation":"Compatibility check workspace_serverless_observed returned UNKNOWN.","metric":"compatibility.workspace_serverless_observed","value":{"evidence":false,"status":"UNKNOWN"}},"EVID-8A2CA1F2CB0AE069280E449E":{"interpretation":"Severity of capacity queueing at p95 among queued queries.","metric":"p95_wait_capacity_ms_when_queued_30","value":9000},"EVID-8F7E3338B58CABACD8A8F19C":{"interpretation":"Current warehouse type.","metric":"warehouse_type","value":"PRO"},"EVID-9061C8B86A3E064D3068DD57":{"interpretation":"Frequency of capacity queueing.","metric":"queued_query_pct_30","value":1.0},"EVID-961B35C0E85521646A2B48D9":{"interpretation":"Severity of spill at p95 among queries that spilled.","metric":"p95_spill_bytes_when_spilled_30","value":2147483648},"EVID-9B8E1FCFDF764EB620F8627C":{"interpretation":"Configured concurrency ceiling.","metric":"max_clusters","value":8},"EVID-A0E6420717F746163C350A0E":{"interpretation":"Compatibility check workspace_serverless_enablement returned PASS.","metric":"compatibility.workspace_serverless_enablement","value":{"evidence":true,"status":"PASS"}},"EVID-A6B0629AF776267EC1BEFD1C":{"interpretation":"Compatibility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regions.","region":"us-east-1"},"status":"PASS"}},"EVID-B14E29B030DF322078D9574C":{"interpretation":"Observed billing evidence; not used as current configuration source.","metric":"serverless_usage_pct_365","value":0.0},"EVID-B243D5AFB2596AB542DE4D0B":{"interpretation":"Estimated additional off-time at the candidate target.","metric":"estimated_additional_off_minutes","value":1728.0},"EVID-BE99070B2138778FAD6323C4":{"interpretation":"Dashboard workload mix context.","metric":"dashboard_queries_30","value":0},"EVID-BF652AC51560329CFD9C0449":{"interpretation":"Current idle termination setting versus deterministic policy target.","metric":"auto_stop_minutes","value":45},"EVID-BFABA7FE5F4CD649CD8BB5CF":{"interpretation":"Compatibility check s3_access_policy_compatibility returned UNKNOWN.","metric":"compatibility.s3_access_policy_compatibility","value":{"evidence":"UNKNOWN","status":"UNKNOWN"}},"EVID-C0985AE59F5D8278110173AD":{"interpretation":"Tail execution latency guardrail.","metric":"p95_execution_ms_30","value":11000},"EVID-C65E409498DAAC26BC9A7E6C":{"interpretation":"Queue latency guardrail among queued queries.","metric":"p95_wait_capacity_ms_when_queued_30","value":9000},"EVID-CE5AAF49B736110C9BABD5DF":{"interpretation":"Activity density selects the auto-stop target.","metric":"queries_per_active_day_30","value":326.67},"EVID-D3B52F66FCD31062B1B0A0B3":{"interpretation":"Concurrency pressure during the decision window.","metric":"queued_query_pct_30","value":1.0},"EVID-DE93964EDC1B9E5DCF7EDE95":{"interpretation":"Potential migration-review signal only; this does not prove an external legacy Hive metastore is configured.","metric":"hive_metastore_reference_queries_30","value":0},"EVID-E537D70782B304C239A5C196":{"interpretation":"No-change forward DBU cost forecast anchored to the current configuration epoch.","metric":"forward_dbu_cost_365d","value":58000.0},"EVID-E9763030D2ED61047B419AFA":{"interpretation":"Cold-start sensitivity guardrail at p95 among queries that waited for compute.","metric":"p95_wait_compute_ms_when_waited_30","value":3500},"EVID-EB4062CC3E2A9EE53D82DCE2":{"interpretation":"Observed trailing-365-day Databricks SQL list cost attributed to the warehouse.","metric":"actual_dbu_cost_365d","value":51040.0},"EVID-EC1BD88B388D79E675C955D2":{"interpretation":"Queries that queued at capacity; the wait percentile is computed over these queries only.","metric":"queued_queries_30","value":98},"EVID-ECDDE17AA397C1C6C3A2165D":{"interpretation":"Highest observed scale level.","metric":"max_observed_clusters","value":7},"EVID-F434EE37F0A085340B6B5BEE":{"interpretation":"Calendar-day coverage available to the forward cost model.","metric":"cost_history_days","value":262},"EVID-F6050662637ABA0BDC2DBA35":{"interpretation":"Tableau client workload mix context.","metric":"tableau_queries_30","value":0},"EVID-FA3E117294ACCCC7A8F86BE4":{"interpretation":"Frequency of queries spilling to local storage.","metric":"spill_query_pct_30","value":4.2}}</t>
        </is>
      </c>
    </row>
    <row r="15" ht="24" customHeight="1">
      <c r="A15" s="14" t="inlineStr">
        <is>
          <t>PKG-860F9BF3834486EBE41DF046</t>
        </is>
      </c>
      <c r="B15" s="14" t="inlineStr">
        <is>
          <t>2234567890123456</t>
        </is>
      </c>
      <c r="C15" s="14" t="inlineStr">
        <is>
          <t>wh-synth-015</t>
        </is>
      </c>
      <c r="D15" s="15" t="inlineStr">
        <is>
          <t>HR Reporting</t>
        </is>
      </c>
      <c r="E15" s="16" t="inlineStr">
        <is>
          <t>hr-analytics@databricks.example</t>
        </is>
      </c>
      <c r="F15" s="16" t="inlineStr">
        <is>
          <t>us-east-1</t>
        </is>
      </c>
      <c r="G15" s="14" t="inlineStr">
        <is>
          <t>EPOCH-8CC20848A6BB8AE8A26C2C16</t>
        </is>
      </c>
      <c r="H15" s="17" t="n">
        <v>252</v>
      </c>
      <c r="I15" s="16" t="inlineStr">
        <is>
          <t>DASHBOARD</t>
        </is>
      </c>
      <c r="J15" s="17" t="n">
        <v>3200</v>
      </c>
      <c r="K15" s="17" t="n">
        <v>30</v>
      </c>
      <c r="L15" s="18" t="inlineStr">
        <is>
          <t>PRO</t>
        </is>
      </c>
      <c r="M15" s="18" t="inlineStr">
        <is>
          <t>SMALL</t>
        </is>
      </c>
      <c r="N15" s="17" t="n">
        <v>2</v>
      </c>
      <c r="O15" s="17" t="n">
        <v>2</v>
      </c>
      <c r="P15" s="17" t="n">
        <v>120</v>
      </c>
      <c r="Q15" s="18" t="inlineStr">
        <is>
          <t>CURRENT</t>
        </is>
      </c>
      <c r="R15" s="18" t="inlineStr">
        <is>
          <t>ENABLED</t>
        </is>
      </c>
      <c r="S15" s="16" t="inlineStr">
        <is>
          <t>USD</t>
        </is>
      </c>
      <c r="T15" s="19" t="n">
        <v>13640</v>
      </c>
      <c r="U15" s="19" t="inlineStr">
        <is>
          <t>UNAVAILABLE</t>
        </is>
      </c>
      <c r="V15" s="19" t="inlineStr">
        <is>
          <t>UNAVAILABLE</t>
        </is>
      </c>
      <c r="W15" s="19" t="n">
        <v>15500</v>
      </c>
      <c r="X15" s="19" t="n">
        <v>3615.24</v>
      </c>
      <c r="Y15" s="19" t="n">
        <v>19115.24</v>
      </c>
      <c r="Z15" s="18" t="inlineStr">
        <is>
          <t>SAVINGS</t>
        </is>
      </c>
      <c r="AA15" s="19" t="n">
        <v>4300.93</v>
      </c>
      <c r="AB15" s="19" t="n">
        <v>6690.33</v>
      </c>
      <c r="AC15" s="19" t="n">
        <v>15059.68</v>
      </c>
      <c r="AD15" s="19" t="n">
        <v>4055.56</v>
      </c>
      <c r="AE15" s="19" t="n">
        <v>12424.91</v>
      </c>
      <c r="AF15" s="19" t="n">
        <v>14814.31</v>
      </c>
      <c r="AG15" s="20" t="n">
        <v>0.35</v>
      </c>
      <c r="AH15" s="14" t="inlineStr">
        <is>
          <t>SCN-BBAAF3154665B37B8FCEA1E0</t>
        </is>
      </c>
      <c r="AI15" s="15" t="inlineStr">
        <is>
          <t>Plan A — Optimize current warehouse type</t>
        </is>
      </c>
      <c r="AJ15" s="16" t="inlineStr">
        <is>
          <t>IN_PLACE_OPTIMIZATION</t>
        </is>
      </c>
      <c r="AK15" s="18" t="inlineStr">
        <is>
          <t>MEDIUM</t>
        </is>
      </c>
      <c r="AL15" s="21" t="n">
        <v>0.78</v>
      </c>
      <c r="AM15" s="15" t="inlineStr">
        <is>
          <t>RUN_WAREHOUSE_SIZE_CANARY</t>
        </is>
      </c>
      <c r="AN15" s="18" t="b">
        <v>1</v>
      </c>
      <c r="AO15" s="16" t="inlineStr">
        <is>
          <t>OPTIMIZATION_AVAILABLE</t>
        </is>
      </c>
      <c r="AP15" s="16" t="inlineStr">
        <is>
          <t>SUFFICIENT</t>
        </is>
      </c>
      <c r="AQ15" s="18" t="inlineStr">
        <is>
          <t>HIGH</t>
        </is>
      </c>
      <c r="AR15" s="17" t="n">
        <v>6</v>
      </c>
      <c r="AS15" s="17" t="n">
        <v>1</v>
      </c>
      <c r="AT15" s="17" t="n">
        <v>3</v>
      </c>
      <c r="AU15" s="17" t="n">
        <v>0</v>
      </c>
      <c r="AV15" s="17" t="n">
        <v>0</v>
      </c>
      <c r="AW15" s="17" t="n">
        <v>2</v>
      </c>
      <c r="AX15" s="17" t="n">
        <v>0</v>
      </c>
      <c r="AY15" s="17" t="n">
        <v>0</v>
      </c>
      <c r="AZ15" s="16" t="inlineStr">
        <is>
          <t>Size SMALL→X_SMALL [TEST_REQUIRED] | Max 2 [NO_CHANGE] | Min 2→1 [TEST_REQUIRED] | Auto-stop 120→30 [ACTIONABLE] | Type PRO→SERVERLESS [TEST_REQUIRED] | Channel CURRENT [NO_CHANGE]</t>
        </is>
      </c>
      <c r="BA15" s="16" t="inlineStr">
        <is>
          <t>Plan A — Optimize current warehouse type | 1. warehouse_size SMALL→X_SMALL [READY_FOR_CANARY]; priced AUTHORITATIVE | 2. min_clusters 2→1 [PENDING_REEVALUATION]; priced CONTINGENT | 3. auto_stop_minutes 120→30 [PENDING_REEVALUATION]; priced CONTINGENT | 4. REMEASURE_AND_REGENERATE [REQUIRED]; remeasure 7d</t>
        </is>
      </c>
      <c r="BB15" s="22" t="inlineStr">
        <is>
          <t>{"client_applications":{"POWER_BI":{"query_count":800},"SQL_EDITOR":{"query_count":256}},"multi_label":true,"query_sources":{"ALERT":{"query_count":0,"query_pct":0.0},"DASHBOARD":{"query_count":2400,"query_pct":75.0},"GENIE":{"query_count":0,"query_pct":0.0},"JOB":{"query_count":0,"query_pct":0.0},"NOTEBOOK":{"query_count":0,"query_pct":0.0},"SQL_EDITOR":{"query_count":256,"query_pct":8.0}},"workload_characteristics":{"activity_pattern":"CONTINUOUS","concurrency_pattern":"STEADY","latency_class":"INTERACTIVE"}}</t>
        </is>
      </c>
      <c r="BC15" s="22" t="inlineStr">
        <is>
          <t>["SCN-BBAAF3154665B37B8FCEA1E0","SCN-4C7F7B95C214EEBF380310D5"]</t>
        </is>
      </c>
      <c r="BD15" s="22" t="inlineStr">
        <is>
          <t>["CAND-1531D4BD13B32E9441CF326C","CAND-B6913E34C50A503A1D6DBEA0","CAND-573D056D65CE4249801B3E1C","CAND-C1A802D5E5BEE703D8ED0085","CAND-0F14BBC11AE756EB5AFB1C96","CAND-53AF57B05EB45846CF76155B"]</t>
        </is>
      </c>
      <c r="BE15" s="22" t="inlineStr">
        <is>
          <t>packages/2234567890123456__wh-synth-015.json</t>
        </is>
      </c>
      <c r="BF15" s="22" t="inlineStr">
        <is>
          <t>{"EVID-01B0931797AD8E53145A691A":{"interpretation":"Alert workload mix context.","metric":"alert_queries_30","value":0},"EVID-0D810E83CECE50954A7A685C":{"interpretation":"Frequency of queries spilling to local storage.","metric":"spill_query_pct_30","value":0.0},"EVID-0ED6F46984B7429965251DFA":{"interpretation":"Configured minimum scale.","metric":"min_clusters","value":2},"EVID-13D5BCA568FCB7051CE9D79D":{"interpretation":"I/O cache evidence for HITL context; not a v2 size decision threshold.","metric":"avg_read_io_cache_percent_30","value":35.0},"EVID-16B432383FD0DDFEE4D012AE":{"interpretation":"Compatibility check workspace_serverless_enablement returned PASS.","metric":"compatibility.workspace_serverless_enablement","value":{"evidence":true,"status":"PASS"}},"EVID-1B042AC3F3DC722F7CBD7EFC":{"interpretation":"Severity of spill at p95 among queries that spilled.","metric":"p95_spill_bytes_when_spilled_30","value":0},"EVID-1DD7A19B3B0DF4143675E5FB":{"interpretation":"Restart frequency guardrail.","metric":"starts_per_active_day_30","value":0.1333},"EVID-2C1A5879F6C5D019F73F53CF":{"interpretation":"Compatibility check s3_access_policy_compatibility returned UNKNOWN.","metric":"compatibility.s3_access_policy_compatibility","value":{"evidence":"UNKNOWN","status":"UNKNOWN"}},"EVID-2ECCAF2DEB31C4E6DA63B160":{"interpretation":"Current idle termination setting versus deterministic policy target.","metric":"auto_stop_minutes","value":120},"EVID-3A343CC6FF17D49FC9AD677E":{"interpretation":"Compatibility check workspace_serverless_observed returned UNKNOWN.","metric":"compatibility.workspace_serverless_observed","value":{"evidence":false,"status":"UNKNOWN"}},"EVID-407B8B7358879E2BF927FBC7":{"interpretation":"Current warehouse size.","metric":"warehouse_size","value":"SMALL"},"EVID-4D0620980296070C0F13B308":{"interpretation":"Observed resource-time basis used to convert idle time into cost effect.","metric":"cluster_minutes","value":40000.0},"EVID-4DE0BBBC3685DD0789E6ABE6":{"interpretation":"Queries that spilled; the spill severity percentile is computed over these queries only.","metric":"spill_queries_30","value":0},"EVID-507A4213371D1C316C1CC988":{"interpretation":"No-change forward DBU cost forecast anchored to the current configuration epoch.","metric":"forward_dbu_cost_365d","value":15500.0},"EVID-5461C38656FC772B05732F94":{"interpretation":"Query-tag coverage supplied to HITL for workload attribution and migration validation.","metric":"tagged_query_pct_30","value":70.0},"EVID-5F732C6BD12B85E05433189C":{"interpretation":"Queue latency guardrail among queued queries.","metric":"p95_wait_capacity_ms_when_queued_30","value":0},"EVID-634399DEE70438016F07F4AE":{"interpretation":"Fraction of running time at configured maximum.","metric":"time_at_max_pct","value":0.0},"EVID-6BD43BFD6ABCD42659E7A67E":{"interpretation":"Frequency of capacity queueing.","metric":"queued_query_pct_30","value":0.0},"EVID-71AA2350F44ED33F293E9415":{"interpretation":"Compatibility check legacy_hive_metastore_sql_reference returned PASS_WITH_LIMITATION.","metric":"compatibility.legacy_hive_metastore_sql_reference","value":{"evidence":{"reference_queries":0,"visible_pct":100.0},"status":"PASS_WITH_LIMITATION"}},"EVID-790EAB5EC858806D654BE4C3":{"interpretation":"Queries that waited for compute; the wait percentile is computed over these queries only.","metric":"compute_wait_queries_30","value":4},"EVID-7C5B36553FD4D6F24464AAE3":{"interpretation":"Cold-start sensitivity guardrail at p95 among queries that waited for compute.","metric":"p95_wait_compute_ms_when_waited_30","value":3500},"EVID-83C49754DBFBB0A3F73A8DF0":{"interpretation":"Tableau client workload mix context.","metric":"tableau_queries_30","value":0},"EVID-898523B3F6F9EF7659721E39":{"interpretation":"Genie workload mix context.","metric":"genie_queries_30","value":0},"EVID-8DCFC6A0FCF3F29EDAC2E7F6":{"interpretation":"Observed trailing-365-day Databricks SQL list cost attributed to the warehouse.","metric":"actual_dbu_cost_365d","value":13640.0},"EVID-9EAB95FAF297AB482EC4BEDA":{"interpretation":"Forward customer AWS infrastructure cost model for the current configuration epoch; null when unavailable.","metric":"forward_aws_cost_365d","value":3615.24},"EVID-A0DF30623A058D588E6D05E6":{"interpretation":"Job workload mix context.","metric":"job_queries_30","value":0},"EVID-A247506597147334B7EBC5FA":{"interpretation":"Compatibility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regions.","region":"us-east-1"},"status":"PASS"}},"EVID-A385D4A375B81956644C007B":{"interpretation":"Databricks SQL editor/query workload mix context.","metric":"sql_editor_queries_30","value":256},"EVID-A77090CFFE32A7F60C21BF7A":{"interpretation":"Sustained scale pressure blocks minimum reduction.","metric":"time_at_max_pct","value":0.0},"EVID-AAC19684A130CEDB6899D5A4":{"interpretation":"Queue guardrail before reducing baseline capacity.","metric":"queued_query_pct_30","value":0.0},"EVID-AAF37F5753DFBD8265CBC705":{"interpretation":"Activity density selects the auto-stop target.","metric":"queries_per_active_day_30","value":106.67},"EVID-B0F8165F4ECE68C2CAF2F705":{"interpretation":"Coverage available for deterministic pattern checks. Raw SQL text is not exported.","metric":"statement_text_visible_pct_30","value":100.0},"EVID-B25BA1B63DF47E9357C97990":{"interpretation":"Current warehouse type.","metric":"warehouse_type","value":"PRO"},"EVID-B45065D6E10A3C07E0278909":{"interpretation":"Non-overlapping inter-query gap sample supporting the auto-stop counterfactual.","metric":"idle_gap_count","value":128},"EVID-B9988C289DDAA9B7B6A22290":{"interpretation":"Power BI client workload mix context.","metric":"power_bi_queries_30","value":800},"EVID-BA44DE5A4FFD511819D160D3":{"interpretation":"Calendar-day coverage available to the forward cost model.","metric":"cost_history_days","value":252},"EVID-BB24712E336B1DE6544A9089":{"interpretation":"How often the warehouse sits at its minimum.","metric":"time_at_min_pct","value":90.0},"EVID-BFECCAA5C954B839B41B3F78":{"interpretation":"Notebook workload mix context.","metric":"notebook_queries_30","value":0},"EVID-C051B133A3F60F2431CCB46B":{"interpretation":"Highest observed scale level.","metric":"max_observed_clusters","value":2},"EVID-C1A290503A730A2597E04F4F":{"interpretation":"Estimated additional off-time at the candidate target.","metric":"estimated_additional_off_minutes","value":7920.0},"EVID-D204E6427AA6DB80225C18CF":{"interpretation":"Configured concurrency ceiling.","metric":"max_clusters","value":2},"EVID-D68F79CF3972CCE5B1DFCEAD":{"interpretation":"Queries that queued at capacity; the wait percentile is computed over these queries only.","metric":"queued_queries_30","value":0},"EVID-DB0003F618B6A5F1F058A80A":{"interpretation":"Tail execution latency guardrail.","metric":"p95_execution_ms_30","value":2000},"EVID-DF9F879685D647BC4173CCB3":{"interpretation":"Dashboard workload mix context.","metric":"dashboard_queries_30","value":2400},"EVID-EB0482919E76BABE5679717F":{"interpretation":"Concurrency pressure during the decision window.","metric":"queued_query_pct_30","value":0.0},"EVID-F130A53A660169C51BDDECBF":{"interpretation":"Compatibility check external_legacy_hive_metastore_workspace_setting returned PASS.","metric":"compatibility.external_legacy_hive_metastore_workspace_setting","value":{"evidence":{"config_keys":[],"detected":false},"status":"PASS"}},"EVID-F3295EDE47B1C510743F895B":{"interpretation":"Current release channel from the current configuration epoch.","metric":"warehouse_channel","value":"CURRENT"},"EVID-F68E95D9A0280257191BA4C5":{"interpretation":"Potential migration-review signal only; this does not prove an external legacy Hive metastore is configured.","metric":"hive_metastore_reference_queries_30","value":0},"EVID-F83AD8E314550D8512193F6A":{"interpretation":"Extreme tail execution latency guardrail.","metric":"p99_execution_ms_30","value":6000},"EVID-F9465E0B062F91CEDE4AB7CB":{"interpretation":"Severity of capacity queueing at p95 among queued queries.","metric":"p95_wait_capacity_ms_when_queued_30","value":0},"EVID-F9A9C7240302A09DAA7D6DD6":{"interpretation":"Observed billing evidence; not used as current configuration source.","metric":"serverless_usage_pct_365","value":0.0}}</t>
        </is>
      </c>
    </row>
    <row r="16" ht="24" customHeight="1">
      <c r="A16" s="14" t="inlineStr">
        <is>
          <t>PKG-7BBB53D3EBA7FF15A78C71B4</t>
        </is>
      </c>
      <c r="B16" s="14" t="inlineStr">
        <is>
          <t>2234567890123456</t>
        </is>
      </c>
      <c r="C16" s="14" t="inlineStr">
        <is>
          <t>wh-synth-014</t>
        </is>
      </c>
      <c r="D16" s="15" t="inlineStr">
        <is>
          <t>Ops Dashboards</t>
        </is>
      </c>
      <c r="E16" s="16" t="inlineStr">
        <is>
          <t>operations@databricks.example</t>
        </is>
      </c>
      <c r="F16" s="16" t="inlineStr">
        <is>
          <t>us-east-1</t>
        </is>
      </c>
      <c r="G16" s="14" t="inlineStr">
        <is>
          <t>EPOCH-BF33251BF79B5BE8C7BADBFF</t>
        </is>
      </c>
      <c r="H16" s="17" t="n">
        <v>256</v>
      </c>
      <c r="I16" s="16" t="inlineStr">
        <is>
          <t>DASHBOARD</t>
        </is>
      </c>
      <c r="J16" s="17" t="n">
        <v>13000</v>
      </c>
      <c r="K16" s="17" t="n">
        <v>30</v>
      </c>
      <c r="L16" s="18" t="inlineStr">
        <is>
          <t>PRO</t>
        </is>
      </c>
      <c r="M16" s="18" t="inlineStr">
        <is>
          <t>MEDIUM</t>
        </is>
      </c>
      <c r="N16" s="17" t="n">
        <v>1</v>
      </c>
      <c r="O16" s="17" t="n">
        <v>8</v>
      </c>
      <c r="P16" s="17" t="n">
        <v>30</v>
      </c>
      <c r="Q16" s="18" t="inlineStr">
        <is>
          <t>CURRENT</t>
        </is>
      </c>
      <c r="R16" s="18" t="inlineStr">
        <is>
          <t>ENABLED</t>
        </is>
      </c>
      <c r="S16" s="16" t="inlineStr">
        <is>
          <t>USD</t>
        </is>
      </c>
      <c r="T16" s="19" t="n">
        <v>22880</v>
      </c>
      <c r="U16" s="19" t="inlineStr">
        <is>
          <t>UNAVAILABLE</t>
        </is>
      </c>
      <c r="V16" s="19" t="inlineStr">
        <is>
          <t>UNAVAILABLE</t>
        </is>
      </c>
      <c r="W16" s="19" t="n">
        <v>26000</v>
      </c>
      <c r="X16" s="19" t="n">
        <v>5338.12</v>
      </c>
      <c r="Y16" s="19" t="n">
        <v>31338.12</v>
      </c>
      <c r="Z16" s="18" t="inlineStr">
        <is>
          <t>SAVINGS</t>
        </is>
      </c>
      <c r="AA16" s="19" t="n">
        <v>5410.96</v>
      </c>
      <c r="AB16" s="19" t="n">
        <v>9592.76</v>
      </c>
      <c r="AC16" s="19" t="n">
        <v>23353.75</v>
      </c>
      <c r="AD16" s="19" t="n">
        <v>7984.37</v>
      </c>
      <c r="AE16" s="19" t="n">
        <v>21745.36</v>
      </c>
      <c r="AF16" s="19" t="n">
        <v>25927.16</v>
      </c>
      <c r="AG16" s="20" t="n">
        <v>0.306105</v>
      </c>
      <c r="AH16" s="14" t="inlineStr">
        <is>
          <t>SCN-B1AE3151CA3DFABC9D6F87A2</t>
        </is>
      </c>
      <c r="AI16" s="15" t="inlineStr">
        <is>
          <t>Plan A — Optimize current warehouse type</t>
        </is>
      </c>
      <c r="AJ16" s="16" t="inlineStr">
        <is>
          <t>IN_PLACE_OPTIMIZATION</t>
        </is>
      </c>
      <c r="AK16" s="18" t="inlineStr">
        <is>
          <t>MEDIUM</t>
        </is>
      </c>
      <c r="AL16" s="21" t="n">
        <v>0.78</v>
      </c>
      <c r="AM16" s="15" t="inlineStr">
        <is>
          <t>RUN_WAREHOUSE_SIZE_CANARY</t>
        </is>
      </c>
      <c r="AN16" s="18" t="b">
        <v>1</v>
      </c>
      <c r="AO16" s="16" t="inlineStr">
        <is>
          <t>OPTIMIZATION_AVAILABLE</t>
        </is>
      </c>
      <c r="AP16" s="16" t="inlineStr">
        <is>
          <t>SUFFICIENT</t>
        </is>
      </c>
      <c r="AQ16" s="18" t="inlineStr">
        <is>
          <t>HIGH</t>
        </is>
      </c>
      <c r="AR16" s="17" t="n">
        <v>6</v>
      </c>
      <c r="AS16" s="17" t="n">
        <v>1</v>
      </c>
      <c r="AT16" s="17" t="n">
        <v>2</v>
      </c>
      <c r="AU16" s="17" t="n">
        <v>0</v>
      </c>
      <c r="AV16" s="17" t="n">
        <v>0</v>
      </c>
      <c r="AW16" s="17" t="n">
        <v>3</v>
      </c>
      <c r="AX16" s="17" t="n">
        <v>0</v>
      </c>
      <c r="AY16" s="17" t="n">
        <v>0</v>
      </c>
      <c r="AZ16" s="16" t="inlineStr">
        <is>
          <t>Size MEDIUM→SMALL [TEST_REQUIRED] | Max 8→3 [ACTIONABLE] | Min 1 [NO_CHANGE] | Auto-stop 30 [NO_CHANGE] | Type PRO→SERVERLESS [TEST_REQUIRED] | Channel CURRENT [NO_CHANGE]</t>
        </is>
      </c>
      <c r="BA16" s="16" t="inlineStr">
        <is>
          <t>Plan A — Optimize current warehouse type | 1. warehouse_size MEDIUM→SMALL [READY_FOR_CANARY]; priced AUTHORITATIVE | 2. max_clusters 8→3 [PENDING_REEVALUATION]; priced CONTINGENT | 3. REMEASURE_AND_REGENERATE [REQUIRED]; remeasure 7d</t>
        </is>
      </c>
      <c r="BB16" s="22" t="inlineStr">
        <is>
          <t>{"client_applications":{"POWER_BI":{"query_count":3250},"SQL_EDITOR":{"query_count":1040}},"multi_label":true,"query_sources":{"ALERT":{"query_count":0,"query_pct":0.0},"DASHBOARD":{"query_count":9750,"query_pct":75.0},"GENIE":{"query_count":0,"query_pct":0.0},"JOB":{"query_count":0,"query_pct":0.0},"NOTEBOOK":{"query_count":0,"query_pct":0.0},"SQL_EDITOR":{"query_count":1040,"query_pct":8.0}},"workload_characteristics":{"activity_pattern":"CONTINUOUS","concurrency_pattern":"STEADY","latency_class":"INTERACTIVE"}}</t>
        </is>
      </c>
      <c r="BC16" s="22" t="inlineStr">
        <is>
          <t>["SCN-B1AE3151CA3DFABC9D6F87A2","SCN-7AA042130907C622B3D829D7"]</t>
        </is>
      </c>
      <c r="BD16" s="22" t="inlineStr">
        <is>
          <t>["CAND-68B1A41A04A2F7483EAD9565","CAND-3B94CC5756DFC0077D2E12FE","CAND-F89285A886F733FCF48A39F5","CAND-924103D11A79912AF1188F2F","CAND-30A07501B51A2AE278F7EA92","CAND-AD58D34434A2170D1BF1A9B1"]</t>
        </is>
      </c>
      <c r="BE16" s="22" t="inlineStr">
        <is>
          <t>packages/2234567890123456__wh-synth-014.json</t>
        </is>
      </c>
      <c r="BF16" s="22" t="inlineStr">
        <is>
          <t>{"EVID-05A39DE059C813C193661F07":{"interpretation":"Compatibility check legacy_hive_metastore_sql_reference returned PASS_WITH_LIMITATION.","metric":"compatibility.legacy_hive_metastore_sql_reference","value":{"evidence":{"reference_queries":0,"visible_pct":100.0},"status":"PASS_WITH_LIMITATION"}},"EVID-075DC68712355A8DD4FE2603":{"interpretation":"Observed trailing-365-day Databricks SQL list cost attributed to the warehouse.","metric":"actual_dbu_cost_365d","value":22880.0},"EVID-0B236E96CFAADEA401D485D8":{"interpretation":"Frequency of queries spilling to local storage.","metric":"spill_query_pct_30","value":0.0},"EVID-15C90A7069D97FFBF27141F6":{"interpretation":"Compatibility check workspace_serverless_enablement returned PASS.","metric":"compatibility.workspace_serverless_enablement","value":{"evidence":true,"status":"PASS"}},"EVID-1ACA7C8B9A9A293BE5CFEE4E":{"interpretation":"Activity density selects the auto-stop target.","metric":"queries_per_active_day_30","value":433.33},"EVID-1DD41E094BAD58A2025478A3":{"interpretation":"Highest observed scale level.","metric":"max_observed_clusters","value":2},"EVID-20B74C71235026CB1006D75D":{"interpretation":"Current warehouse type.","metric":"warehouse_type","value":"PRO"},"EVID-22BEC328AA4A66999655C284":{"interpretation":"Coverage available for deterministic pattern checks. Raw SQL text is not exported.","metric":"statement_text_visible_pct_30","value":100.0},"EVID-23B98DC198C1A8170F8F9A99":{"interpretation":"Sustained scale pressure blocks minimum reduction.","metric":"time_at_max_pct","value":0.0},"EVID-25BA1C551957EAD856D93BB1":{"interpretation":"Extreme tail execution latency guardrail.","metric":"p99_execution_ms_30","value":7200},"EVID-27BF4F675CF47BE7ED7D92A7":{"interpretation":"Compatibility check external_legacy_hive_metastore_workspace_setting returned PASS.","metric":"compatibility.external_legacy_hive_metastore_workspace_setting","value":{"evidence":{"config_keys":[],"detected":false},"status":"PASS"}},"EVID-2981DA47184B33DAA0E0AEF3":{"interpretation":"Frequency of capacity queueing.","metric":"queued_query_pct_30","value":0.0},"EVID-2EB24474879263CAA7D55388":{"interpretation":"Queries that spilled; the spill severity percentile is computed over these queries only.","metric":"spill_queries_30","value":0},"EVID-34338326D5389EC2477F90A1":{"interpretation":"Cold-start sensitivity guardrail at p95 among queries that waited for compute.","metric":"p95_wait_compute_ms_when_waited_30","value":3500},"EVID-4B8B2B525621ED89EA20CBB7":{"interpretation":"Current idle termination setting versus deterministic policy target.","metric":"auto_stop_minutes","value":30},"EVID-4D7719F0DCD578A9F64A53CF":{"interpretation":"Queries that waited for compute; the wait percentile is computed over these queries only.","metric":"compute_wait_queries_30","value":6},"EVID-4E5FAEE78D56DFC97676075D":{"interpretation":"Concurrency pressure during the decision window.","metric":"queued_query_pct_30","value":0.0},"EVID-51ABDD6192C632754DC043A4":{"interpretation":"Queries that queued at capacity; the wait percentile is computed over these queries only.","metric":"queued_queries_30","value":0},"EVID-51ED3C0701E326D181DDCBAD":{"interpretation":"Tail execution latency guardrail.","metric":"p95_execution_ms_30","value":2100},"EVID-52F379B326B48A163DAD8F0B":{"interpretation":"Job workload mix context.","metric":"job_queries_30","value":0},"EVID-5410112DFBC342DF891DBF46":{"interpretation":"Notebook workload mix context.","metric":"notebook_queries_30","value":0},"EVID-54CEC3840D90DC23AE1DDB39":{"interpretation":"Observed resource-time basis used to convert idle time into cost effect.","metric":"cluster_minutes","value":30000.0},"EVID-560228B799DA72762556AD39":{"interpretation":"Non-overlapping inter-query gap sample supporting the auto-stop counterfactual.","metric":"idle_gap_count","value":520},"EVID-58873DCCF86A22B7C49B25C7":{"interpretation":"Fraction of running time at configured maximum.","metric":"time_at_max_pct","value":0.0},"EVID-5A0984690AB60FAD1E646F57":{"interpretation":"Current warehouse size.","metric":"warehouse_size","value":"MEDIUM"},"EVID-5CE253A6ED0C92F5F4B58920":{"interpretation":"Restart frequency guardrail.","metric":"starts_per_active_day_30","value":0.2},"EVID-6E3CC48635A168300AFD9101":{"interpretation":"Configured concurrency ceiling.","metric":"max_clusters","value":8},"EVID-7470F3D044066BB776AA7526":{"interpretation":"Query-tag coverage supplied to HITL for workload attribution and migration validation.","metric":"tagged_query_pct_30","value":70.0},"EVID-7CBF6F506E34E48BF4007E49":{"interpretation":"Severity of spill at p95 among queries that spilled.","metric":"p95_spill_bytes_when_spilled_30","value":0},"EVID-7D9BF92BB726FFBAED23FE74":{"interpretation":"Forward customer AWS infrastructure cost model for the current configuration epoch; null when unavailable.","metric":"forward_aws_cost_365d","value":5338.12},"EVID-818918115DFD85F2025E4AB5":{"interpretation":"Genie workload mix context.","metric":"genie_queries_30","value":0},"EVID-8446876BD86846BC5B4A09B1":{"interpretation":"Tableau client workload mix context.","metric":"tableau_queries_30","value":0},"EVID-900367C6FD27EF69401875BB":{"interpretation":"Queue latency guardrail among queued queries.","metric":"p95_wait_capacity_ms_when_queued_30","value":0},"EVID-987E8FBCED5AD351FFAAAA33":{"interpretation":"How often the warehouse sits at its minimum.","metric":"time_at_min_pct","value":58.0},"EVID-9A48289F39C4CBF84AFA056D":{"interpretation":"Observed billing evidence; not used as current configuration source.","metric":"serverless_usage_pct_365","value":0.0},"EVID-9C01DEB2842095BB47EE5CDE":{"interpretation":"Dashboard workload mix context.","metric":"dashboard_queries_30","value":9750},"EVID-A0EDCF34958103470FFB3138":{"interpretation":"Databricks SQL editor/query workload mix context.","metric":"sql_editor_queries_30","value":1040},"EVID-AEAB494D17C5B4B7C451733A":{"interpretation":"Power BI client workload mix context.","metric":"power_bi_queries_30","value":3250},"EVID-B272FC69B2AFFDD9F8CAA0ED":{"interpretation":"Queue guardrail before reducing baseline capacity.","metric":"queued_query_pct_30","value":0.0},"EVID-B497C3FF5ED3D8789DC6D823":{"interpretation":"Severity of capacity queueing at p95 among queued queries.","metric":"p95_wait_capacity_ms_when_queued_30","value":0},"EVID-BDE0805A170B0A4C92D6B573":{"interpretation":"Alert workload mix context.","metric":"alert_queries_30","value":0},"EVID-C1B2C572B41553D2862081B7":{"interpretation":"Compatibility check s3_access_policy_compatibility returned UNKNOWN.","metric":"compatibility.s3_access_policy_compatibility","value":{"evidence":"UNKNOWN","status":"UNKNOWN"}},"EVID-C531CFB4DE60DA5DFFD90F03":{"interpretation":"Calendar-day coverage available to the forward cost model.","metric":"cost_history_days","value":256},"EVID-D09849AFFFB193163A0F1547":{"interpretation":"Configured minimum scale.","metric":"min_clusters","value":1},"EVID-D3629BE0A19E65713B480452":{"interpretation":"No-change forward DBU cost forecast anchored to the current configuration epoch.","metric":"forward_dbu_cost_365d","value":26000.0},"EVID-D686C6BEE50D1122355032D0":{"interpretation":"Current release channel from the current configuration epoch.","metric":"warehouse_channel","value":"CURRENT"},"EVID-DAD23F3F252736320B90B610":{"interpretation":"Potential migration-review signal only; this does not prove an external legacy Hive metastore is configured.","metric":"hive_metastore_reference_queries_30","value":0},"EVID-DBA319585E47DD744C7C91FE":{"interpretation":"I/O cache evidence for HITL context; not a v2 size decision threshold.","metric":"avg_read_io_cache_percent_30","value":35.0},"EVID-EAC15F6872ADFF0F3C60D54F":{"interpretation":"Compatibility check workspace_serverless_observed returned UNKNOWN.","metric":"compatibility.workspace_serverless_observed","value":{"evidence":false,"status":"UNKNOWN"}},"EVID-EC30765FCC5CC089BFE85916":{"interpretation":"Estimated additional off-time at the candidate target.","metric":"estimated_additional_off_minutes","value":1728.0},"EVID-F48AEEBA5FE65654FE81C0FC":{"interpretation":"Compatibility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regions.","region":"us-east-1"},"status":"PASS"}}}</t>
        </is>
      </c>
    </row>
    <row r="17" ht="24" customHeight="1">
      <c r="A17" s="14" t="inlineStr">
        <is>
          <t>PKG-64D236F637ADCD1FA2350E7B</t>
        </is>
      </c>
      <c r="B17" s="14" t="inlineStr">
        <is>
          <t>2234567890123456</t>
        </is>
      </c>
      <c r="C17" s="14" t="inlineStr">
        <is>
          <t>wh-synth-009</t>
        </is>
      </c>
      <c r="D17" s="15" t="inlineStr">
        <is>
          <t>Photon Migration Lab</t>
        </is>
      </c>
      <c r="E17" s="16" t="inlineStr">
        <is>
          <t>platform-lab@databricks.example</t>
        </is>
      </c>
      <c r="F17" s="16" t="inlineStr">
        <is>
          <t>us-east-1</t>
        </is>
      </c>
      <c r="G17" s="14" t="inlineStr">
        <is>
          <t>EPOCH-854E1F09C274063DAE4EDC19</t>
        </is>
      </c>
      <c r="H17" s="17" t="n">
        <v>233</v>
      </c>
      <c r="I17" s="16" t="inlineStr">
        <is>
          <t>NOTEBOOK</t>
        </is>
      </c>
      <c r="J17" s="17" t="n">
        <v>7200</v>
      </c>
      <c r="K17" s="17" t="n">
        <v>30</v>
      </c>
      <c r="L17" s="18" t="inlineStr">
        <is>
          <t>PRO</t>
        </is>
      </c>
      <c r="M17" s="18" t="inlineStr">
        <is>
          <t>SMALL</t>
        </is>
      </c>
      <c r="N17" s="17" t="n">
        <v>1</v>
      </c>
      <c r="O17" s="17" t="n">
        <v>4</v>
      </c>
      <c r="P17" s="17" t="n">
        <v>60</v>
      </c>
      <c r="Q17" s="18" t="inlineStr">
        <is>
          <t>CURRENT</t>
        </is>
      </c>
      <c r="R17" s="18" t="inlineStr">
        <is>
          <t>DISABLED</t>
        </is>
      </c>
      <c r="S17" s="16" t="inlineStr">
        <is>
          <t>USD</t>
        </is>
      </c>
      <c r="T17" s="19" t="n">
        <v>18480</v>
      </c>
      <c r="U17" s="19" t="inlineStr">
        <is>
          <t>UNAVAILABLE</t>
        </is>
      </c>
      <c r="V17" s="19" t="inlineStr">
        <is>
          <t>UNAVAILABLE</t>
        </is>
      </c>
      <c r="W17" s="19" t="n">
        <v>21000</v>
      </c>
      <c r="X17" s="19" t="n">
        <v>2932.53</v>
      </c>
      <c r="Y17" s="19" t="n">
        <v>23932.53</v>
      </c>
      <c r="Z17" s="18" t="inlineStr">
        <is>
          <t>SAVINGS</t>
        </is>
      </c>
      <c r="AA17" s="19" t="n">
        <v>5384.82</v>
      </c>
      <c r="AB17" s="19" t="n">
        <v>8376.389999999999</v>
      </c>
      <c r="AC17" s="19" t="n">
        <v>19546.26</v>
      </c>
      <c r="AD17" s="19" t="n">
        <v>4386.27</v>
      </c>
      <c r="AE17" s="19" t="n">
        <v>15556.14</v>
      </c>
      <c r="AF17" s="19" t="n">
        <v>18547.71</v>
      </c>
      <c r="AG17" s="20" t="n">
        <v>0.35</v>
      </c>
      <c r="AH17" s="14" t="inlineStr">
        <is>
          <t>SCN-C7D4A73498A01E43CF2F1F99</t>
        </is>
      </c>
      <c r="AI17" s="15" t="inlineStr">
        <is>
          <t>Plan A — Optimize current warehouse type</t>
        </is>
      </c>
      <c r="AJ17" s="16" t="inlineStr">
        <is>
          <t>IN_PLACE_OPTIMIZATION</t>
        </is>
      </c>
      <c r="AK17" s="18" t="inlineStr">
        <is>
          <t>MEDIUM</t>
        </is>
      </c>
      <c r="AL17" s="21" t="n">
        <v>0.78</v>
      </c>
      <c r="AM17" s="15" t="inlineStr">
        <is>
          <t>RUN_WAREHOUSE_SIZE_CANARY</t>
        </is>
      </c>
      <c r="AN17" s="18" t="b">
        <v>1</v>
      </c>
      <c r="AO17" s="16" t="inlineStr">
        <is>
          <t>OPTIMIZATION_AVAILABLE</t>
        </is>
      </c>
      <c r="AP17" s="16" t="inlineStr">
        <is>
          <t>SUFFICIENT</t>
        </is>
      </c>
      <c r="AQ17" s="18" t="inlineStr">
        <is>
          <t>HIGH</t>
        </is>
      </c>
      <c r="AR17" s="17" t="n">
        <v>6</v>
      </c>
      <c r="AS17" s="17" t="n">
        <v>1</v>
      </c>
      <c r="AT17" s="17" t="n">
        <v>2</v>
      </c>
      <c r="AU17" s="17" t="n">
        <v>0</v>
      </c>
      <c r="AV17" s="17" t="n">
        <v>0</v>
      </c>
      <c r="AW17" s="17" t="n">
        <v>3</v>
      </c>
      <c r="AX17" s="17" t="n">
        <v>0</v>
      </c>
      <c r="AY17" s="17" t="n">
        <v>0</v>
      </c>
      <c r="AZ17" s="16" t="inlineStr">
        <is>
          <t>Size SMALL→X_SMALL [TEST_REQUIRED] | Max 4 [NO_CHANGE] | Min 1 [NO_CHANGE] | Auto-stop 60→30 [ACTIONABLE] | Type PRO→SERVERLESS [TEST_REQUIRED] | Channel CURRENT [NO_CHANGE]</t>
        </is>
      </c>
      <c r="BA17" s="16" t="inlineStr">
        <is>
          <t>Plan A — Optimize current warehouse type | 1. warehouse_size SMALL→X_SMALL [READY_FOR_CANARY]; priced AUTHORITATIVE | 2. auto_stop_minutes 60→30 [PENDING_REEVALUATION]; priced CONTINGENT | 3. REMEASURE_AND_REGENERATE [REQUIRED]; remeasure 7d</t>
        </is>
      </c>
      <c r="BB17" s="22" t="inlineStr">
        <is>
          <t>{"client_applications":{"SQL_EDITOR":{"query_count":576}},"multi_label":true,"query_sources":{"ALERT":{"query_count":0,"query_pct":0.0},"DASHBOARD":{"query_count":0,"query_pct":0.0},"GENIE":{"query_count":0,"query_pct":0.0},"JOB":{"query_count":0,"query_pct":0.0},"NOTEBOOK":{"query_count":5400,"query_pct":75.0},"SQL_EDITOR":{"query_count":576,"query_pct":8.0}},"workload_characteristics":{"activity_pattern":"CONTINUOUS","concurrency_pattern":"STEADY","latency_class":"INTERACTIVE"}}</t>
        </is>
      </c>
      <c r="BC17" s="22" t="inlineStr">
        <is>
          <t>["SCN-C7D4A73498A01E43CF2F1F99","SCN-C2B8462C39C6CBF67EA76272"]</t>
        </is>
      </c>
      <c r="BD17" s="22" t="inlineStr">
        <is>
          <t>["CAND-36E93BF7B8CE7895B3350359","CAND-4D7163BFB57F1D099F93FBB4","CAND-E4FE1A1917EE61ADF0A90DD5","CAND-580A5D1DBAA9FF66F3497081","CAND-A69115976DE8B2D6CED3E2F9","CAND-0E7487FBA4179110E052404A"]</t>
        </is>
      </c>
      <c r="BE17" s="22" t="inlineStr">
        <is>
          <t>packages/2234567890123456__wh-synth-009.json</t>
        </is>
      </c>
      <c r="BF17" s="22" t="inlineStr">
        <is>
          <t>{"EVID-058D81357EB5272C1DE9ED9B":{"interpretation":"Alert workload mix context.","metric":"alert_queries_30","value":0},"EVID-07174CC5836579556EAE3FBA":{"interpretation":"Observed trailing-365-day Databricks SQL list cost attributed to the warehouse.","metric":"actual_dbu_cost_365d","value":18480.0},"EVID-15BC98689FE74269E3463311":{"interpretation":"Compatibility check legacy_hive_metastore_sql_reference returned PASS_WITH_LIMITATION.","metric":"compatibility.legacy_hive_metastore_sql_reference","value":{"evidence":{"reference_queries":0,"visible_pct":100.0},"status":"PASS_WITH_LIMITATION"}},"EVID-19826A02AE03B4A846113469":{"interpretation":"Query-tag coverage supplied to HITL for workload attribution and migration validation.","metric":"tagged_query_pct_30","value":70.0},"EVID-1D08ADE1876B67CB8F50C528":{"interpretation":"Estimated additional off-time at the candidate target.","metric":"estimated_additional_off_minutes","value":3600.0},"EVID-223C7D3604E9DF00A1BEF7CC":{"interpretation":"Observed billing evidence; not used as current configuration source.","metric":"serverless_usage_pct_365","value":0.0},"EVID-25C1DA18EEB5F16EA1C37494":{"interpretation":"Concurrency pressure during the decision window.","metric":"queued_query_pct_30","value":0.1},"EVID-2CD27BF63AFEE3E528EEE1A4":{"interpretation":"Queue latency guardrail among queued queries.","metric":"p95_wait_capacity_ms_when_queued_30","value":1000},"EVID-2E961C8C26A8DD4D880DC0C3":{"interpretation":"Queries that spilled; the spill severity percentile is computed over these queries only.","metric":"spill_queries_30","value":0},"EVID-36D86A2F5E0936332A1B2820":{"interpretation":"Frequency of capacity queueing.","metric":"queued_query_pct_30","value":0.1},"EVID-39C9D8D68FDB2B48EC1F8E06":{"interpretation":"Tail execution latency guardrail.","metric":"p95_execution_ms_30","value":4200},"EVID-3A43D2B90A2ADDC63154F1DC":{"interpretation":"Potential migration-review signal only; this does not prove an external legacy Hive metastore is configured.","metric":"hive_metastore_reference_queries_30","value":0},"EVID-3BFFD13E796C679EC14F7CA3":{"interpretation":"Fraction of running time at configured maximum.","metric":"time_at_max_pct","value":2.0},"EVID-3FBBE1F8B66451E76AC07E04":{"interpretation":"Queries that waited for compute; the wait percentile is computed over these queries only.","metric":"compute_wait_queries_30","value":5},"EVID-43A9D4AA27211AD241140DA8":{"interpretation":"No-change forward DBU cost forecast anchored to the current configuration epoch.","metric":"forward_dbu_cost_365d","value":21000.0},"EVID-44A8E6640DAD4631893F4EB9":{"interpretation":"Current release channel from the current configuration epoch.","metric":"warehouse_channel","value":"CURRENT"},"EVID-469489F4837B65DD18F63C9D":{"interpretation":"Genie workload mix context.","metric":"genie_queries_30","value":0},"EVID-473DAE924D0494843A151322":{"interpretation":"Frequency of queries spilling to local storage.","metric":"spill_query_pct_30","value":0.0},"EVID-4B7D594AEF10EB1994631521":{"interpretation":"Observed resource-time basis used to convert idle time into cost effect.","metric":"cluster_minutes","value":30000.0},"EVID-4FF74009A0DFB40815A0A413":{"interpretation":"I/O cache evidence for HITL context; not a v2 size decision threshold.","metric":"avg_read_io_cache_percent_30","value":35.0},"EVID-57A759616BDD3E869A9BD1B6":{"interpretation":"Notebook workload mix context.","metric":"notebook_queries_30","value":5400},"EVID-5821F563D2CDBB6D2A1B7AF1":{"interpretation":"Sustained scale pressure blocks minimum reduction.","metric":"time_at_max_pct","value":2.0},"EVID-5F049D088166930E912ED0CA":{"interpretation":"Forward customer AWS infrastructure cost model for the current configuration epoch; null when unavailable.","metric":"forward_aws_cost_365d","value":2932.53},"EVID-61E092FB1CF8E0D4F83E7C75":{"interpretation":"Configured minimum scale.","metric":"min_clusters","value":1},"EVID-65D1AD0CE53C4B489DEF9257":{"interpretation":"Coverage available for deterministic pattern checks. Raw SQL text is not exported.","metric":"statement_text_visible_pct_30","value":100.0},"EVID-814B842EA1F2BD7336C2E67C":{"interpretation":"Calendar-day coverage available to the forward cost model.","metric":"cost_history_days","value":233},"EVID-8A92D5F7019BF02D403BCB98":{"interpretation":"Power BI client workload mix context.","metric":"power_bi_queries_30","value":0},"EVID-8C834AFA4684E60064532F4A":{"interpretation":"Compatibility check s3_access_policy_compatibility returned UNKNOWN.","metric":"compatibility.s3_access_policy_compatibility","value":{"evidence":"UNKNOWN","status":"UNKNOWN"}},"EVID-8F2AFB31A724A7DCC1A017B4":{"interpretation":"Configured concurrency ceiling.","metric":"max_clusters","value":4},"EVID-978B04F1AA38AA4C2EF6D66F":{"interpretation":"Compatibility check workspace_serverless_observed returned UNKNOWN.","metric":"compatibility.workspace_serverless_observed","value":{"evidence":false,"status":"UNKNOWN"}},"EVID-9B5F3B007AF6B0C87B636B00":{"interpretation":"Severity of spill at p95 among queries that spilled.","metric":"p95_spill_bytes_when_spilled_30","value":0},"EVID-A360A570EBEE8B5F549A53E0":{"interpretation":"How often the warehouse sits at its minimum.","metric":"time_at_min_pct","value":55.0},"EVID-A8479D37C2BD6296B01193CA":{"interpretation":"Queries that queued at capacity; the wait percentile is computed over these queries only.","metric":"queued_queries_30","value":7},"EVID-A8A9397A693D4D562A86DAC3":{"interpretation":"Tableau client workload mix context.","metric":"tableau_queries_30","value":0},"EVID-B05D9F6F28424A0150AE0161":{"interpretation":"Cold-start sensitivity guardrail at p95 among queries that waited for compute.","metric":"p95_wait_compute_ms_when_waited_30","value":3500},"EVID-C45D5F5AEEEFC5D7036ABEFB":{"interpretation":"Compatibility check workspace_serverless_enablement returned PASS.","metric":"compatibility.workspace_serverless_enablement","value":{"evidence":true,"status":"PASS"}},"EVID-CA2FD32DD6DA1B4179B6677F":{"interpretation":"Non-overlapping inter-query gap sample supporting the auto-stop counterfactual.","metric":"idle_gap_count","value":288},"EVID-D74AEF3FA0511AE5AC0CDAD8":{"interpretation":"Severity of capacity queueing at p95 among queued queries.","metric":"p95_wait_capacity_ms_when_queued_30","value":1000},"EVID-D7B86E8FA15817630DB367C9":{"interpretation":"Compatibility check external_legacy_hive_metastore_workspace_setting returned PASS.","metric":"compatibility.external_legacy_hive_metastore_workspace_setting","value":{"evidence":{"config_keys":[],"detected":false},"status":"PASS"}},"EVID-D84F7646519258747323D10D":{"interpretation":"Dashboard workload mix context.","metric":"dashboard_queries_30","value":0},"EVID-DCDF95C6A1F733063FB0FF40":{"interpretation":"Current warehouse size.","metric":"warehouse_size","value":"SMALL"},"EVID-DFCDBC00C82164F40BF36FB7":{"interpretation":"Job workload mix context.","metric":"job_queries_30","value":0},"EVID-E02CC741A5434D31B5A71083":{"interpretation":"Databricks SQL editor/query workload mix context.","metric":"sql_editor_queries_30","value":576},"EVID-E09655B4C8E5A7904441CDAF":{"interpretation":"Restart frequency guardrail.","metric":"starts_per_active_day_30","value":0.1667},"EVID-E0A9E6F5CF1C6CC89EF49539":{"interpretation":"Extreme tail execution latency guardrail.","metric":"p99_execution_ms_30","value":16000},"EVID-E11EAFF1B6EDF5B5DA7152A2":{"interpretation":"Queue guardrail before reducing baseline capacity.","metric":"queued_query_pct_30","value":0.1},"EVID-E6197B84E314F1E28F08BB9E":{"interpretation":"Current idle termination setting versus deterministic policy target.","metric":"auto_stop_minutes","value":60},"EVID-ECA8EC5793FCAC7E93A8CB70":{"interpretation":"Highest observed scale level.","metric":"max_observed_clusters","value":2},"EVID-F06D6C88947D665948ED9A70":{"interpretation":"Activity density selects the auto-stop target.","metric":"queries_per_active_day_30","value":240.0},"EVID-F508A01058EA0B6B9B6F94A6":{"interpretation":"Compatibility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regions.","region":"us-east-1"},"status":"PASS"}},"EVID-FEA1A86964875B556D58A600":{"interpretation":"Current warehouse type.","metric":"warehouse_type","value":"PRO"}}</t>
        </is>
      </c>
    </row>
    <row r="18" ht="24" customHeight="1">
      <c r="A18" s="14" t="inlineStr">
        <is>
          <t>PKG-B1B32F263A12954F8161595B</t>
        </is>
      </c>
      <c r="B18" s="14" t="inlineStr">
        <is>
          <t>2234567890123456</t>
        </is>
      </c>
      <c r="C18" s="14" t="inlineStr">
        <is>
          <t>wh-synth-011</t>
        </is>
      </c>
      <c r="D18" s="15" t="inlineStr">
        <is>
          <t>Sandbox Sparse</t>
        </is>
      </c>
      <c r="E18" s="16" t="inlineStr">
        <is>
          <t>sandbox@databricks.example</t>
        </is>
      </c>
      <c r="F18" s="16" t="inlineStr">
        <is>
          <t>us-east-1</t>
        </is>
      </c>
      <c r="G18" s="14" t="inlineStr">
        <is>
          <t>EPOCH-D2930EEA3D0AF4EFD1E12439</t>
        </is>
      </c>
      <c r="H18" s="17" t="n">
        <v>122</v>
      </c>
      <c r="I18" s="16" t="inlineStr">
        <is>
          <t>NOTEBOOK</t>
        </is>
      </c>
      <c r="J18" s="17" t="n">
        <v>45</v>
      </c>
      <c r="K18" s="17" t="n">
        <v>4</v>
      </c>
      <c r="L18" s="18" t="inlineStr">
        <is>
          <t>PRO</t>
        </is>
      </c>
      <c r="M18" s="18" t="inlineStr">
        <is>
          <t>SMALL</t>
        </is>
      </c>
      <c r="N18" s="17" t="n">
        <v>1</v>
      </c>
      <c r="O18" s="17" t="n">
        <v>2</v>
      </c>
      <c r="P18" s="17" t="n">
        <v>120</v>
      </c>
      <c r="Q18" s="18" t="inlineStr">
        <is>
          <t>CURRENT</t>
        </is>
      </c>
      <c r="R18" s="18" t="inlineStr">
        <is>
          <t>UNKNOWN</t>
        </is>
      </c>
      <c r="S18" s="16" t="inlineStr">
        <is>
          <t>USD</t>
        </is>
      </c>
      <c r="T18" s="19" t="n">
        <v>2816</v>
      </c>
      <c r="U18" s="19" t="inlineStr">
        <is>
          <t>UNAVAILABLE</t>
        </is>
      </c>
      <c r="V18" s="19" t="inlineStr">
        <is>
          <t>UNAVAILABLE</t>
        </is>
      </c>
      <c r="W18" s="19" t="n">
        <v>3200</v>
      </c>
      <c r="X18" s="19" t="n">
        <v>3733.77</v>
      </c>
      <c r="Y18" s="19" t="n">
        <v>6933.77</v>
      </c>
      <c r="Z18" s="18" t="inlineStr">
        <is>
          <t>NO_CHANGE</t>
        </is>
      </c>
      <c r="AA18" s="19" t="n">
        <v>-1443.28</v>
      </c>
      <c r="AB18" s="19" t="n">
        <v>0</v>
      </c>
      <c r="AC18" s="19" t="n">
        <v>0</v>
      </c>
      <c r="AD18" s="19" t="n">
        <v>6933.77</v>
      </c>
      <c r="AE18" s="19" t="n">
        <v>6933.77</v>
      </c>
      <c r="AF18" s="19" t="n">
        <v>8377.049999999999</v>
      </c>
      <c r="AG18" s="20" t="n">
        <v>0</v>
      </c>
      <c r="AH18" s="14" t="inlineStr">
        <is>
          <t>SCN-90F84EEF462106B503D5FCD5</t>
        </is>
      </c>
      <c r="AI18" s="15" t="inlineStr">
        <is>
          <t>Plan A — Optimize current warehouse type</t>
        </is>
      </c>
      <c r="AJ18" s="16" t="inlineStr">
        <is>
          <t>IN_PLACE_OPTIMIZATION</t>
        </is>
      </c>
      <c r="AK18" s="18" t="inlineStr">
        <is>
          <t>HIGH</t>
        </is>
      </c>
      <c r="AL18" s="21" t="n">
        <v>1</v>
      </c>
      <c r="AM18" s="15" t="inlineStr">
        <is>
          <t>REVIEW_SCENARIO</t>
        </is>
      </c>
      <c r="AN18" s="18" t="b">
        <v>1</v>
      </c>
      <c r="AO18" s="16" t="inlineStr">
        <is>
          <t>OPTIMIZATION_AVAILABLE</t>
        </is>
      </c>
      <c r="AP18" s="16" t="inlineStr">
        <is>
          <t>PARTIAL</t>
        </is>
      </c>
      <c r="AQ18" s="18" t="inlineStr">
        <is>
          <t>MEDIUM</t>
        </is>
      </c>
      <c r="AR18" s="17" t="n">
        <v>6</v>
      </c>
      <c r="AS18" s="17" t="n">
        <v>0</v>
      </c>
      <c r="AT18" s="17" t="n">
        <v>1</v>
      </c>
      <c r="AU18" s="17" t="n">
        <v>0</v>
      </c>
      <c r="AV18" s="17" t="n">
        <v>1</v>
      </c>
      <c r="AW18" s="17" t="n">
        <v>4</v>
      </c>
      <c r="AX18" s="17" t="n">
        <v>0</v>
      </c>
      <c r="AY18" s="17" t="n">
        <v>0</v>
      </c>
      <c r="AZ18" s="16" t="inlineStr">
        <is>
          <t>Size SMALL [NO_CHANGE] | Max 2 [NO_CHANGE] | Min 1 [NO_CHANGE] | Auto-stop 120→15 [BLOCKED] | Type PRO→SERVERLESS [TEST_REQUIRED] | Channel CURRENT [NO_CHANGE]</t>
        </is>
      </c>
      <c r="BA18" s="16" t="inlineStr">
        <is>
          <t>Plan A — Optimize current warehouse type</t>
        </is>
      </c>
      <c r="BB18" s="22" t="inlineStr">
        <is>
          <t>{"client_applications":{"SQL_EDITOR":{"query_count":3}},"multi_label":true,"query_sources":{"ALERT":{"query_count":0,"query_pct":0.0},"DASHBOARD":{"query_count":0,"query_pct":0.0},"GENIE":{"query_count":0,"query_pct":0.0},"JOB":{"query_count":0,"query_pct":0.0},"NOTEBOOK":{"query_count":33,"query_pct":73.333},"SQL_EDITOR":{"query_count":3,"query_pct":6.667}},"workload_characteristics":{"activity_pattern":"SPORADIC","concurrency_pattern":"UNKNOWN","latency_class":"UNKNOWN"}}</t>
        </is>
      </c>
      <c r="BC18" s="22" t="inlineStr">
        <is>
          <t>["SCN-90F84EEF462106B503D5FCD5","SCN-C76B1BF0BE04F2268A48C457"]</t>
        </is>
      </c>
      <c r="BD18" s="22" t="inlineStr">
        <is>
          <t>["CAND-48E992E09B6FDDDA184620BB","CAND-7AD7357E0749467C6A7B878C","CAND-4AD0C5CF56FFE443109E075C","CAND-49A88561475837189D75A95B","CAND-CBCF6ED4CDF8B9664828018A","CAND-0CF01F172DB34D3AE5983193"]</t>
        </is>
      </c>
      <c r="BE18" s="22" t="inlineStr">
        <is>
          <t>packages/2234567890123456__wh-synth-011.json</t>
        </is>
      </c>
      <c r="BF18" s="22" t="inlineStr">
        <is>
          <t>{"EVID-0645324E21523AC72540EBFB":{"interpretation":"Calendar-day coverage available to the forward cost model.","metric":"cost_history_days","value":122},"EVID-0BA05DFEDB55A3C639CBDE3C":{"interpretation":"Activity density selects the auto-stop target.","metric":"queries_per_active_day_30","value":11.25},"EVID-11E47EFC2708CBFEDD50ADF5":{"interpretation":"Compatibility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regions.","region":"us-east-1"},"status":"PASS"}},"EVID-195F46F60FABA88715E01BF8":{"interpretation":"Highest observed scale level.","metric":"max_observed_clusters","value":1},"EVID-2005A26A4E686F61F138D184":{"interpretation":"Queue guardrail before reducing baseline capacity.","metric":"queued_query_pct_30","value":0.0},"EVID-2717985C1ABCB4F82F0C3207":{"interpretation":"Power BI client workload mix context.","metric":"power_bi_queries_30","value":0},"EVID-277695726D78445956FE494F":{"interpretation":"Severity of spill at p95 among queries that spilled.","metric":"p95_spill_bytes_when_spilled_30","value":0},"EVID-2D1C834F33B47D7C597813BC":{"interpretation":"Potential migration-review signal only; this does not prove an external legacy Hive metastore is configured.","metric":"hive_metastore_reference_queries_30","value":0},"EVID-3757B07B85F990B0A9264097":{"interpretation":"Estimated additional off-time at the candidate target.","metric":"estimated_additional_off_minutes","value":10120.0},"EVID-376B961B29D12F53A747A949":{"interpretation":"Notebook workload mix context.","metric":"notebook_queries_30","value":33},"EVID-3BE897690A2172D19236EC85":{"interpretation":"Non-overlapping inter-query gap sample supporting the auto-stop counterfactual.","metric":"idle_gap_count","value":5},"EVID-3DCBC6489AC48EDCE794F393":{"interpretation":"Observed resource-time basis used to convert idle time into cost effect.","metric":"cluster_minutes","value":20000.0},"EVID-3E185CE21A5B0320DDCB65EB":{"interpretation":"Compatibility check legacy_hive_metastore_sql_reference returned PASS_WITH_LIMITATION.","metric":"compatibility.legacy_hive_metastore_sql_reference","value":{"evidence":{"reference_queries":0,"visible_pct":100.0},"status":"PASS_WITH_LIMITATION"}},"EVID-406AF2C15F491C90EC38F696":{"interpretation":"Compatibility check workspace_serverless_enablement returned PASS.","metric":"compatibility.workspace_serverless_enablement","value":{"evidence":true,"status":"PASS"}},"EVID-473C88A56036CF4722376661":{"interpretation":"Coverage available for deterministic pattern checks. Raw SQL text is not exported.","metric":"statement_text_visible_pct_30","value":100.0},"EVID-48AD911004D78BC5B629A2CD":{"interpretation":"Genie workload mix context.","metric":"genie_queries_30","value":0},"EVID-48B5752A7517C832C6F13F16":{"interpretation":"Sustained scale pressure blocks minimum reduction.","metric":"time_at_max_pct","value":0.0},"EVID-4B624F4A3B3E05F869CEBB81":{"interpretation":"Job workload mix context.","metric":"job_queries_30","value":0},"EVID-4E79642ADEB6BD83CF237522":{"interpretation":"Alert workload mix context.","metric":"alert_queries_30","value":0},"EVID-5B91767FD693F50EFD0576F7":{"interpretation":"Dashboard workload mix context.","metric":"dashboard_queries_30","value":0},"EVID-60929AEB71973AE52157CA34":{"interpretation":"Tableau client workload mix context.","metric":"tableau_queries_30","value":0},"EVID-6D0F865829FDA770BA2D1F50":{"interpretation":"Configured concurrency ceiling.","metric":"max_clusters","value":2},"EVID-7A436410CF1C8EE2567C00A8":{"interpretation":"Current warehouse size.","metric":"warehouse_size","value":"SMALL"},"EVID-7C1343FE613D1C19015BD7B1":{"interpretation":"Current warehouse type.","metric":"warehouse_type","value":"PRO"},"EVID-803FE025612A1F6D4A58355B":{"interpretation":"Query-tag coverage supplied to HITL for workload attribution and migration validation.","metric":"tagged_query_pct_30","value":70.0},"EVID-81BB2260DF67AC5CE9D9AEF5":{"interpretation":"Restart frequency guardrail.","metric":"starts_per_active_day_30","value":0.5},"EVID-82F8B6438164A878220C92CF":{"interpretation":"Fraction of running time at configured maximum.","metric":"time_at_max_pct","value":0.0},"EVID-86F8174A6943E8D4F2C7FAFE":{"interpretation":"Databricks SQL editor/query workload mix context.","metric":"sql_editor_queries_30","value":3},"EVID-877CBDBF73660A76F7D7B906":{"interpretation":"I/O cache evidence for HITL context; not a v2 size decision threshold.","metric":"avg_read_io_cache_percent_30","value":35.0},"EVID-8945206B7EFE7B399B2C2E7E":{"interpretation":"Observed trailing-365-day Databricks SQL list cost attributed to the warehouse.","metric":"actual_dbu_cost_365d","value":2816.0},"EVID-8BFB6DBCD41163D4975AC2D0":{"interpretation":"Current release channel from the current configuration epoch.","metric":"warehouse_channel","value":"CURRENT"},"EVID-9094DED8046D5939494E72F6":{"interpretation":"Extreme tail execution latency guardrail.","metric":"p99_execution_ms_30","value":4000},"EVID-90E0282E95C7A75CCA70207C":{"interpretation":"Configured minimum scale.","metric":"min_clusters","value":1},"EVID-93044B07330628C211B83BB0":{"interpretation":"Frequency of capacity queueing.","metric":"queued_query_pct_30","value":0.0},"EVID-9C5BA1A542982FAA1650BA7C":{"interpretation":"How often the warehouse sits at its minimum.","metric":"time_at_min_pct","value":45.0},"EVID-9D5FF441E9A83BA2016A7779":{"interpretation":"No-change forward DBU cost forecast anchored to the current configuration epoch.","metric":"forward_dbu_cost_365d","value":3200.0},"EVID-A39D869989EE20E8F0FA4661":{"interpretation":"Concurrency pressure during the decision window.","metric":"queued_query_pct_30","value":0.0},"EVID-AA062B5DFCC4DBB6962C7CA9":{"interpretation":"Tail execution latency guardrail.","metric":"p95_execution_ms_30","value":1600},"EVID-AA1588DBCF52F271FDBDC1CB":{"interpretation":"Compatibility check workspace_serverless_observed returned UNKNOWN.","metric":"compatibility.workspace_serverless_observed","value":{"evidence":false,"status":"UNKNOWN"}},"EVID-AF2A27B54B6E2E92040B22C3":{"interpretation":"Queries that spilled; the spill severity percentile is computed over these queries only.","metric":"spill_queries_30","value":0},"EVID-BB70599C732C9AF2C89E8F69":{"interpretation":"Forward customer AWS infrastructure cost model for the current configuration epoch; null when unavailable.","metric":"forward_aws_cost_365d","value":3733.77},"EVID-BFA6C64A9A6B80359A92DDCF":{"interpretation":"Compatibility check external_legacy_hive_metastore_workspace_setting returned PASS.","metric":"compatibility.external_legacy_hive_metastore_workspace_setting","value":{"evidence":{"config_keys":[],"detected":false},"status":"PASS"}},"EVID-C0FDA37896D08BB3EC313B88":{"interpretation":"Current idle termination setting versus deterministic policy target.","metric":"auto_stop_minutes","value":120},"EVID-C93E53FFBF15C2C059DD7551":{"interpretation":"Compatibility check s3_access_policy_compatibility returned UNKNOWN.","metric":"compatibility.s3_access_policy_compatibility","value":{"evidence":"UNKNOWN","status":"UNKNOWN"}},"EVID-CF1D42DA66B6EDAFCB6EBB2A":{"interpretation":"Queries that queued at capacity; the wait percentile is computed over these queries only.","metric":"queued_queries_30","value":0},"EVID-D3C92F624741AE9991AFF968":{"interpretation":"Queries that waited for compute; the wait percentile is computed over these queries only.","metric":"compute_wait_queries_30","value":2},"EVID-DF7FBF457C19FB28EF5FD820":{"interpretation":"Frequency of queries spilling to local storage.","metric":"spill_query_pct_30","value":0.0},"EVID-ED017CC07FEB8357DD377236":{"interpretation":"Queue latency guardrail among queued queries.","metric":"p95_wait_capacity_ms_when_queued_30","value":0},"EVID-F0FEE41C0A094A7E4BC8355D":{"interpretation":"Cold-start sensitivity guardrail at p95 among queries that waited for compute.","metric":"p95_wait_compute_ms_when_waited_30","value":3500},"EVID-F289972C47C0295FAC5F5901":{"interpretation":"Severity of capacity queueing at p95 among queued queries.","metric":"p95_wait_capacity_ms_when_queued_30","value":0},"EVID-F306F90358EC1E71F324BC0D":{"interpretation":"Observed billing evidence; not used as current configuration source.","metric":"serverless_usage_pct_365","value":0.0}}</t>
        </is>
      </c>
    </row>
    <row r="19" ht="24" customHeight="1">
      <c r="A19" s="14" t="inlineStr">
        <is>
          <t>PKG-8A3D702F2E106E66AE0DA92A</t>
        </is>
      </c>
      <c r="B19" s="14" t="inlineStr">
        <is>
          <t>2234567890123456</t>
        </is>
      </c>
      <c r="C19" s="14" t="inlineStr">
        <is>
          <t>wh-synth-012</t>
        </is>
      </c>
      <c r="D19" s="15" t="inlineStr">
        <is>
          <t>Supply Chain BI</t>
        </is>
      </c>
      <c r="E19" s="16" t="inlineStr">
        <is>
          <t>supply-chain@databricks.example</t>
        </is>
      </c>
      <c r="F19" s="16" t="inlineStr">
        <is>
          <t>us-east-1</t>
        </is>
      </c>
      <c r="G19" s="14" t="inlineStr">
        <is>
          <t>EPOCH-E8E5EC239C9C77845A59BBA4</t>
        </is>
      </c>
      <c r="H19" s="17" t="n">
        <v>259</v>
      </c>
      <c r="I19" s="16" t="inlineStr">
        <is>
          <t>SQL_EDITOR</t>
        </is>
      </c>
      <c r="J19" s="17" t="n">
        <v>11000</v>
      </c>
      <c r="K19" s="17" t="n">
        <v>30</v>
      </c>
      <c r="L19" s="18" t="inlineStr">
        <is>
          <t>PRO</t>
        </is>
      </c>
      <c r="M19" s="18" t="inlineStr">
        <is>
          <t>LARGE</t>
        </is>
      </c>
      <c r="N19" s="17" t="n">
        <v>1</v>
      </c>
      <c r="O19" s="17" t="n">
        <v>5</v>
      </c>
      <c r="P19" s="17" t="n">
        <v>60</v>
      </c>
      <c r="Q19" s="18" t="inlineStr">
        <is>
          <t>CURRENT</t>
        </is>
      </c>
      <c r="R19" s="18" t="inlineStr">
        <is>
          <t>ENABLED</t>
        </is>
      </c>
      <c r="S19" s="16" t="inlineStr">
        <is>
          <t>USD</t>
        </is>
      </c>
      <c r="T19" s="19" t="n">
        <v>29040</v>
      </c>
      <c r="U19" s="19" t="inlineStr">
        <is>
          <t>UNAVAILABLE</t>
        </is>
      </c>
      <c r="V19" s="19" t="inlineStr">
        <is>
          <t>UNAVAILABLE</t>
        </is>
      </c>
      <c r="W19" s="19" t="n">
        <v>33000</v>
      </c>
      <c r="X19" s="19" t="n">
        <v>8793.82</v>
      </c>
      <c r="Y19" s="19" t="n">
        <v>41793.82</v>
      </c>
      <c r="Z19" s="18" t="inlineStr">
        <is>
          <t>COST_INCREASE</t>
        </is>
      </c>
      <c r="AA19" s="19" t="n">
        <v>-13802.09</v>
      </c>
      <c r="AB19" s="19" t="n">
        <v>-4835.01</v>
      </c>
      <c r="AC19" s="19" t="n">
        <v>28640.67</v>
      </c>
      <c r="AD19" s="19" t="n">
        <v>13153.15</v>
      </c>
      <c r="AE19" s="19" t="n">
        <v>46628.83</v>
      </c>
      <c r="AF19" s="19" t="n">
        <v>55595.91</v>
      </c>
      <c r="AG19" s="20" t="n">
        <v>-0.115687</v>
      </c>
      <c r="AH19" s="14" t="inlineStr">
        <is>
          <t>SCN-CD13BC97911EDD734CF17B6B</t>
        </is>
      </c>
      <c r="AI19" s="15" t="inlineStr">
        <is>
          <t>Plan A — Optimize current warehouse type</t>
        </is>
      </c>
      <c r="AJ19" s="16" t="inlineStr">
        <is>
          <t>IN_PLACE_OPTIMIZATION</t>
        </is>
      </c>
      <c r="AK19" s="18" t="inlineStr">
        <is>
          <t>MEDIUM</t>
        </is>
      </c>
      <c r="AL19" s="21" t="n">
        <v>0.78</v>
      </c>
      <c r="AM19" s="15" t="inlineStr">
        <is>
          <t>RUN_WAREHOUSE_SIZE_CANARY</t>
        </is>
      </c>
      <c r="AN19" s="18" t="b">
        <v>1</v>
      </c>
      <c r="AO19" s="16" t="inlineStr">
        <is>
          <t>OPTIMIZATION_AVAILABLE</t>
        </is>
      </c>
      <c r="AP19" s="16" t="inlineStr">
        <is>
          <t>SUFFICIENT</t>
        </is>
      </c>
      <c r="AQ19" s="18" t="inlineStr">
        <is>
          <t>HIGH</t>
        </is>
      </c>
      <c r="AR19" s="17" t="n">
        <v>6</v>
      </c>
      <c r="AS19" s="17" t="n">
        <v>2</v>
      </c>
      <c r="AT19" s="17" t="n">
        <v>2</v>
      </c>
      <c r="AU19" s="17" t="n">
        <v>0</v>
      </c>
      <c r="AV19" s="17" t="n">
        <v>0</v>
      </c>
      <c r="AW19" s="17" t="n">
        <v>2</v>
      </c>
      <c r="AX19" s="17" t="n">
        <v>0</v>
      </c>
      <c r="AY19" s="17" t="n">
        <v>0</v>
      </c>
      <c r="AZ19" s="16" t="inlineStr">
        <is>
          <t>Size LARGE→MEDIUM [TEST_REQUIRED] | Max 5→3 [ACTIONABLE] | Min 1 [NO_CHANGE] | Auto-stop 60→30 [ACTIONABLE] | Type PRO→SERVERLESS [TEST_REQUIRED] | Channel CURRENT [NO_CHANGE]</t>
        </is>
      </c>
      <c r="BA19" s="16" t="inlineStr">
        <is>
          <t>Plan A — Optimize current warehouse type | 1. warehouse_size LARGE→MEDIUM [READY_FOR_CANARY]; priced AUTHORITATIVE | 2. max_clusters 5→3 [PENDING_REEVALUATION]; priced CONTINGENT | 3. auto_stop_minutes 60→30 [PENDING_REEVALUATION]; priced CONTINGENT | 4. REMEASURE_AND_REGENERATE [REQUIRED]; remeasure 7d</t>
        </is>
      </c>
      <c r="BB19" s="22" t="inlineStr">
        <is>
          <t>{"client_applications":{"POWER_BI":{"query_count":8250},"SQL_EDITOR":{"query_count":880}},"multi_label":true,"query_sources":{"ALERT":{"query_count":0,"query_pct":0.0},"DASHBOARD":{"query_count":0,"query_pct":0.0},"GENIE":{"query_count":0,"query_pct":0.0},"JOB":{"query_count":0,"query_pct":0.0},"NOTEBOOK":{"query_count":0,"query_pct":0.0},"SQL_EDITOR":{"query_count":880,"query_pct":8.0}},"workload_characteristics":{"activity_pattern":"CONTINUOUS","concurrency_pattern":"STEADY","latency_class":"INTERACTIVE"}}</t>
        </is>
      </c>
      <c r="BC19" s="22" t="inlineStr">
        <is>
          <t>["SCN-CD13BC97911EDD734CF17B6B","SCN-D90F0090AC8A9492249F19B8"]</t>
        </is>
      </c>
      <c r="BD19" s="22" t="inlineStr">
        <is>
          <t>["CAND-73A72B66CCC5DF6F66CAC2FE","CAND-20A04702FCD63664C07653A5","CAND-9ADFC70F5FC112A2499B5375","CAND-F52F904EE62AFA4706B94D7E","CAND-C08CF1BBC9ECD83993F5BCE2","CAND-A33DFC4B60027DE5B92ED694"]</t>
        </is>
      </c>
      <c r="BE19" s="22" t="inlineStr">
        <is>
          <t>packages/2234567890123456__wh-synth-012.json</t>
        </is>
      </c>
      <c r="BF19" s="22" t="inlineStr">
        <is>
          <t>{"EVID-04AFCA0AAC20E78DB30EAB77":{"interpretation":"Cold-start sensitivity guardrail at p95 among queries that waited for compute.","metric":"p95_wait_compute_ms_when_waited_30","value":3500},"EVID-05DD86E0F6613765BFBA1E18":{"interpretation":"Forward customer AWS infrastructure cost model for the current configuration epoch; null when unavailable.","metric":"forward_aws_cost_365d","value":8793.82},"EVID-07A2D8FB5FCCD61519B96CC3":{"interpretation":"Compatibility check aws_region_serverless_availability returned PASS.","metric":"compatibility.aws_region_serverless_availability","value":{"evidence":{"policy":"Databricks documents Serverless SQL warehouse support across AWS regions.","region":"us-east-1"},"status":"PASS"}},"EVID-0D49EBE0456D3AC0425D6040":{"interpretation":"Configured minimum scale.","metric":"min_clusters","value":1},"EVID-15E61DCCCDC9640AEECEDE52":{"interpretation":"Job workload mix context.","metric":"job_queries_30","value":0},"EVID-168734B9927A9EB76E8DD271":{"interpretation":"Concurrency pressure during the decision window.","metric":"queued_query_pct_30","value":0.1},"EVID-21BAEB92A93F4EA1EFA4BE25":{"interpretation":"Potential migration-review signal only; this does not prove an external legacy Hive metastore is configured.","metric":"hive_metastore_reference_queries_30","value":0},"EVID-25018FD718DF5EACF142F830":{"interpretation":"Configured concurrency ceiling.","metric":"max_clusters","value":5},"EVID-2A52B7303B96A6106B59F7DD":{"interpretation":"Queries that queued at capacity; the wait percentile is computed over these queries only.","metric":"queued_queries_30","value":11},"EVID-2B410DD070DE49F4BA280AC0":{"interpretation":"Dashboard workload mix context.","metric":"dashboard_queries_30","value":0},"EVID-2D14233C22D92C6645004C4B":{"interpretation":"Current warehouse type.","metric":"warehouse_type","value":"PRO"},"EVID-2ED156DA3F1E6A8E1ECD0756":{"interpretation":"Genie workload mix context.","metric":"genie_queries_30","value":0},"EVID-30684DDD3BC0545735D7BE84":{"interpretation":"Databricks SQL editor/query workload mix context.","metric":"sql_editor_queries_30","value":880},"EVID-35105E35476552EC4996467A":{"interpretation":"Notebook workload mix context.","metric":"notebook_queries_30","value":0},"EVID-44114512A244D39710D4F01E":{"interpretation":"Compatibility check external_legacy_hive_metastore_workspace_setting returned PASS.","metric":"compatibility.external_legacy_hive_metastore_workspace_setting","value":{"evidence":{"config_keys":[],"detected":false},"status":"PASS"}},"EVID-4D2EA7CDCF00512B9AD8016B":{"interpretation":"Calendar-day coverage available to the forward cost model.","metric":"cost_history_days","value":259},"EVID-53CBA2DB88E1E98F95E78F57":{"interpretation":"Highest observed scale level.","metric":"max_observed_clusters","value":2},"EVID-5744D477056B6D4DDA2B3C9A":{"interpretation":"No-change forward DBU cost forecast anchored to the current configuration epoch.","metric":"forward_dbu_cost_365d","value":33000.0},"EVID-6697A43FF1953B6DD17B7E3A":{"interpretation":"Severity of spill at p95 among queries that spilled.","metric":"p95_spill_bytes_when_spilled_30","value":0},"EVID-76A6F57147432ADF9195AB8A":{"interpretation":"Alert workload mix context.","metric":"alert_queries_30","value":0},"EVID-76CC7EFCB0C616F7636449A1":{"interpretation":"Tail execution latency guardrail.","metric":"p95_execution_ms_30","value":2300},"EVID-8061388EF01AF88966780FE8":{"interpretation":"Restart frequency guardrail.","metric":"starts_per_active_day_30","value":0.2},"EVID-813B76ABCC2E92AFB79A8CEC":{"interpretation":"Queue guardrail before reducing baseline capacity.","metric":"queued_query_pct_30","value":0.1},"EVID-86522A92DD2115BE645B0597":{"interpretation":"Compatibility check workspace_serverless_observed returned UNKNOWN.","metric":"compatibility.workspace_serverless_observed","value":{"evidence":false,"status":"UNKNOWN"}},"EVID-8749654928EDA932BF981D0D":{"interpretation":"Compatibility check workspace_serverless_enablement returned PASS.","metric":"compatibility.workspace_serverless_enablement","value":{"evidence":true,"status":"PASS"}},"EVID-93FF7D4EC33F9B836AB6A5B1":{"interpretation":"Non-overlapping inter-query gap sample supporting the auto-stop counterfactual.","metric":"idle_gap_count","value":440},"EVID-94A443A0D3C916891029D716":{"interpretation":"Current release channel from the current configuration epoch.","metric":"warehouse_channel","value":"CURRENT"},"EVID-97BB222802772AFEA5FAD120":{"interpretation":"Observed resource-time basis used to convert idle time into cost effect.","metric":"cluster_minutes","value":30000.0},"EVID-992E8BC51B6B9DAF16486239":{"interpretation":"Severity of capacity queueing at p95 among queued queries.","metric":"p95_wait_capacity_ms_when_queued_30","value":800},"EVID-A8BE846EED36B67068AA40E0":{"interpretation":"Observed trailing-365-day Databricks SQL list cost attributed to the warehouse.","metric":"actual_dbu_cost_365d","value":29040.0},"EVID-ABE50E8BB95F0A3555F82500":{"interpretation":"Frequency of queries spilling to local storage.","metric":"spill_query_pct_30","value":0.0},"EVID-AE8923033C2E33B284017783":{"interpretation":"How often the warehouse sits at its minimum.","metric":"time_at_min_pct","value":65.0},"EVID-AF279CE943239F24018B7A6B":{"interpretation":"Estimated additional off-time at the candidate target.","metric":"estimated_additional_off_minutes","value":3600.0},"EVID-AFCCD0D5FA6B5D57006462F7":{"interpretation":"Tableau client workload mix context.","metric":"tableau_queries_30","value":0},"EVID-B4DC16A94706160A1FD2D15E":{"interpretation":"Fraction of running time at configured maximum.","metric":"time_at_max_pct","value":0.0},"EVID-BA8A411AD317A6E434A8FB8B":{"interpretation":"Activity density selects the auto-stop target.","metric":"queries_per_active_day_30","value":366.67},"EVID-BD5A2CE5E7D1A27A48EA67AD":{"interpretation":"Power BI client workload mix context.","metric":"power_bi_queries_30","value":8250},"EVID-C5ED523E62D944AA6BE91E28":{"interpretation":"Coverage available for deterministic pattern checks. Raw SQL text is not exported.","metric":"statement_text_visible_pct_30","value":100.0},"EVID-C6A2F9009A7F7A4E149AD155":{"interpretation":"Compatibility check s3_access_policy_compatibility returned UNKNOWN.","metric":"compatibility.s3_access_policy_compatibility","value":{"evidence":"UNKNOWN","status":"UNKNOWN"}},"EVID-CB895D6D4CF4E45D8C39BD25":{"interpretation":"Queue latency guardrail among queued queries.","metric":"p95_wait_capacity_ms_when_queued_30","value":800},"EVID-CDF4EEEA440FFA47B7C7CA28":{"interpretation":"Observed billing evidence; not used as current configuration source.","metric":"serverless_usage_pct_365","value":0.0},"EVID-CE464D57463AF05E9E2B1B2E":{"interpretation":"I/O cache evidence for HITL context; not a v2 size decision threshold.","metric":"avg_read_io_cache_percent_30","value":35.0},"EVID-D83B486744833AA5B4728EAA":{"interpretation":"Extreme tail execution latency guardrail.","metric":"p99_execution_ms_30","value":8500},"EVID-D9FA7D75F1F9F500B957BAF9":{"interpretation":"Query-tag coverage supplied to HITL for workload attribution and migration validation.","metric":"tagged_query_pct_30","value":70.0},"EVID-DA02736184DF2A70345CF47D":{"interpretation":"Frequency of capacity queueing.","metric":"queued_query_pct_30","value":0.1},"EVID-EBE7FEB8EDF8384AFCA4023F":{"interpretation":"Queries that spilled; the spill severity percentile is computed over these queries only.","metric":"spill_queries_30","value":0},"EVID-EDFF0EB8D8E64AA2F579F299":{"interpretation":"Sustained scale pressure blocks minimum reduction.","metric":"time_at_max_pct","value":0.0},"EVID-F45B3F25E72C93572E60D363":{"interpretation":"Current warehouse size.","metric":"warehouse_size","value":"LARGE"},"EVID-F7616687094FA66C2BA94FEF":{"interpretation":"Current idle termination setting versus deterministic policy target.","metric":"auto_stop_minutes","value":60},"EVID-F7625C8D7909DB61C7DD76C3":{"interpretation":"Queries that waited for compute; the wait percentile is computed over these queries only.","metric":"compute_wait_queries_30","value":6},"EVID-FB2B4A65C10DA970E465C7C5":{"interpretation":"Compatibility check legacy_hive_metastore_sql_reference returned PASS_WITH_LIMITATION.","metric":"compatibility.legacy_hive_metastore_sql_reference","value":{"evidence":{"reference_queries":0,"visible_pct":100.0},"status":"PASS_WITH_LIMITATION"}}}</t>
        </is>
      </c>
    </row>
  </sheetData>
  <mergeCells count="11">
    <mergeCell ref="Z3:AG3"/>
    <mergeCell ref="A3:H3"/>
    <mergeCell ref="A1:BF1"/>
    <mergeCell ref="AZ3:BA3"/>
    <mergeCell ref="S3:Y3"/>
    <mergeCell ref="AO3:AY3"/>
    <mergeCell ref="L3:R3"/>
    <mergeCell ref="BB3:BF3"/>
    <mergeCell ref="AH3:AN3"/>
    <mergeCell ref="I3:K3"/>
    <mergeCell ref="A2:BF2"/>
  </mergeCells>
  <conditionalFormatting sqref="AO5:AO19">
    <cfRule type="expression" priority="1" dxfId="0">
      <formula>AO5="ACTIONABLE"</formula>
    </cfRule>
    <cfRule type="expression" priority="2" dxfId="0">
      <formula>AO5="RECOMMENDED"</formula>
    </cfRule>
    <cfRule type="expression" priority="3" dxfId="0">
      <formula>AO5="HIGH"</formula>
    </cfRule>
    <cfRule type="expression" priority="4" dxfId="0">
      <formula>AO5="SUFFICIENT"</formula>
    </cfRule>
    <cfRule type="expression" priority="5" dxfId="0">
      <formula>AO5="PASS"</formula>
    </cfRule>
    <cfRule type="expression" priority="6" dxfId="0">
      <formula>AO5="REALIZED"</formula>
    </cfRule>
    <cfRule type="expression" priority="7" dxfId="3">
      <formula>AO5="TEST_REQUIRED"</formula>
    </cfRule>
    <cfRule type="expression" priority="8" dxfId="3">
      <formula>AO5="REVIEW"</formula>
    </cfRule>
    <cfRule type="expression" priority="9" dxfId="3">
      <formula>AO5="MEDIUM"</formula>
    </cfRule>
    <cfRule type="expression" priority="10" dxfId="3">
      <formula>AO5="PARTIAL"</formula>
    </cfRule>
    <cfRule type="expression" priority="11" dxfId="3">
      <formula>AO5="REQUIRES_VALIDATION"</formula>
    </cfRule>
    <cfRule type="expression" priority="12" dxfId="3">
      <formula>AO5="VALIDATING"</formula>
    </cfRule>
    <cfRule type="expression" priority="13" dxfId="1">
      <formula>AO5="BLOCKED"</formula>
    </cfRule>
    <cfRule type="expression" priority="14" dxfId="1">
      <formula>AO5="LOW"</formula>
    </cfRule>
    <cfRule type="expression" priority="15" dxfId="1">
      <formula>AO5="INSUFFICIENT_EVIDENCE"</formula>
    </cfRule>
    <cfRule type="expression" priority="16" dxfId="1">
      <formula>AO5="FAILED_VALIDATION"</formula>
    </cfRule>
    <cfRule type="expression" priority="17" dxfId="1">
      <formula>AO5="ROLLED_BACK"</formula>
    </cfRule>
    <cfRule type="expression" priority="18" dxfId="0">
      <formula>AO5="SAVINGS"</formula>
    </cfRule>
    <cfRule type="expression" priority="19" dxfId="1">
      <formula>AO5="COST_INCREASE"</formula>
    </cfRule>
    <cfRule type="expression" priority="20" dxfId="3">
      <formula>AO5="MIXED"</formula>
    </cfRule>
    <cfRule type="expression" priority="21" dxfId="2">
      <formula>AO5="NO_CHANGE"</formula>
    </cfRule>
    <cfRule type="expression" priority="22" dxfId="2">
      <formula>AO5="NOT_APPLICABLE"</formula>
    </cfRule>
    <cfRule type="expression" priority="23" dxfId="4">
      <formula>AO5="ALTERNATIVE"</formula>
    </cfRule>
    <cfRule type="expression" priority="24" dxfId="2">
      <formula>AO5="UNAVAILABLE"</formula>
    </cfRule>
    <cfRule type="expression" priority="25" dxfId="2">
      <formula>AO5="NOT_APPLIED"</formula>
    </cfRule>
    <cfRule type="expression" priority="26" dxfId="2">
      <formula>AO5="UNKNOWN"</formula>
    </cfRule>
  </conditionalFormatting>
  <conditionalFormatting sqref="AP5:AP19">
    <cfRule type="expression" priority="27" dxfId="0">
      <formula>AP5="ACTIONABLE"</formula>
    </cfRule>
    <cfRule type="expression" priority="28" dxfId="0">
      <formula>AP5="RECOMMENDED"</formula>
    </cfRule>
    <cfRule type="expression" priority="29" dxfId="0">
      <formula>AP5="HIGH"</formula>
    </cfRule>
    <cfRule type="expression" priority="30" dxfId="0">
      <formula>AP5="SUFFICIENT"</formula>
    </cfRule>
    <cfRule type="expression" priority="31" dxfId="0">
      <formula>AP5="PASS"</formula>
    </cfRule>
    <cfRule type="expression" priority="32" dxfId="0">
      <formula>AP5="REALIZED"</formula>
    </cfRule>
    <cfRule type="expression" priority="33" dxfId="3">
      <formula>AP5="TEST_REQUIRED"</formula>
    </cfRule>
    <cfRule type="expression" priority="34" dxfId="3">
      <formula>AP5="REVIEW"</formula>
    </cfRule>
    <cfRule type="expression" priority="35" dxfId="3">
      <formula>AP5="MEDIUM"</formula>
    </cfRule>
    <cfRule type="expression" priority="36" dxfId="3">
      <formula>AP5="PARTIAL"</formula>
    </cfRule>
    <cfRule type="expression" priority="37" dxfId="3">
      <formula>AP5="REQUIRES_VALIDATION"</formula>
    </cfRule>
    <cfRule type="expression" priority="38" dxfId="3">
      <formula>AP5="VALIDATING"</formula>
    </cfRule>
    <cfRule type="expression" priority="39" dxfId="1">
      <formula>AP5="BLOCKED"</formula>
    </cfRule>
    <cfRule type="expression" priority="40" dxfId="1">
      <formula>AP5="LOW"</formula>
    </cfRule>
    <cfRule type="expression" priority="41" dxfId="1">
      <formula>AP5="INSUFFICIENT_EVIDENCE"</formula>
    </cfRule>
    <cfRule type="expression" priority="42" dxfId="1">
      <formula>AP5="FAILED_VALIDATION"</formula>
    </cfRule>
    <cfRule type="expression" priority="43" dxfId="1">
      <formula>AP5="ROLLED_BACK"</formula>
    </cfRule>
    <cfRule type="expression" priority="44" dxfId="0">
      <formula>AP5="SAVINGS"</formula>
    </cfRule>
    <cfRule type="expression" priority="45" dxfId="1">
      <formula>AP5="COST_INCREASE"</formula>
    </cfRule>
    <cfRule type="expression" priority="46" dxfId="3">
      <formula>AP5="MIXED"</formula>
    </cfRule>
    <cfRule type="expression" priority="47" dxfId="2">
      <formula>AP5="NO_CHANGE"</formula>
    </cfRule>
    <cfRule type="expression" priority="48" dxfId="2">
      <formula>AP5="NOT_APPLICABLE"</formula>
    </cfRule>
    <cfRule type="expression" priority="49" dxfId="4">
      <formula>AP5="ALTERNATIVE"</formula>
    </cfRule>
    <cfRule type="expression" priority="50" dxfId="2">
      <formula>AP5="UNAVAILABLE"</formula>
    </cfRule>
    <cfRule type="expression" priority="51" dxfId="2">
      <formula>AP5="NOT_APPLIED"</formula>
    </cfRule>
    <cfRule type="expression" priority="52" dxfId="2">
      <formula>AP5="UNKNOWN"</formula>
    </cfRule>
  </conditionalFormatting>
  <conditionalFormatting sqref="AK5:AK19">
    <cfRule type="expression" priority="53" dxfId="0">
      <formula>AK5="ACTIONABLE"</formula>
    </cfRule>
    <cfRule type="expression" priority="54" dxfId="0">
      <formula>AK5="RECOMMENDED"</formula>
    </cfRule>
    <cfRule type="expression" priority="55" dxfId="0">
      <formula>AK5="HIGH"</formula>
    </cfRule>
    <cfRule type="expression" priority="56" dxfId="0">
      <formula>AK5="SUFFICIENT"</formula>
    </cfRule>
    <cfRule type="expression" priority="57" dxfId="0">
      <formula>AK5="PASS"</formula>
    </cfRule>
    <cfRule type="expression" priority="58" dxfId="0">
      <formula>AK5="REALIZED"</formula>
    </cfRule>
    <cfRule type="expression" priority="59" dxfId="3">
      <formula>AK5="TEST_REQUIRED"</formula>
    </cfRule>
    <cfRule type="expression" priority="60" dxfId="3">
      <formula>AK5="REVIEW"</formula>
    </cfRule>
    <cfRule type="expression" priority="61" dxfId="3">
      <formula>AK5="MEDIUM"</formula>
    </cfRule>
    <cfRule type="expression" priority="62" dxfId="3">
      <formula>AK5="PARTIAL"</formula>
    </cfRule>
    <cfRule type="expression" priority="63" dxfId="3">
      <formula>AK5="REQUIRES_VALIDATION"</formula>
    </cfRule>
    <cfRule type="expression" priority="64" dxfId="3">
      <formula>AK5="VALIDATING"</formula>
    </cfRule>
    <cfRule type="expression" priority="65" dxfId="1">
      <formula>AK5="BLOCKED"</formula>
    </cfRule>
    <cfRule type="expression" priority="66" dxfId="1">
      <formula>AK5="LOW"</formula>
    </cfRule>
    <cfRule type="expression" priority="67" dxfId="1">
      <formula>AK5="INSUFFICIENT_EVIDENCE"</formula>
    </cfRule>
    <cfRule type="expression" priority="68" dxfId="1">
      <formula>AK5="FAILED_VALIDATION"</formula>
    </cfRule>
    <cfRule type="expression" priority="69" dxfId="1">
      <formula>AK5="ROLLED_BACK"</formula>
    </cfRule>
    <cfRule type="expression" priority="70" dxfId="0">
      <formula>AK5="SAVINGS"</formula>
    </cfRule>
    <cfRule type="expression" priority="71" dxfId="1">
      <formula>AK5="COST_INCREASE"</formula>
    </cfRule>
    <cfRule type="expression" priority="72" dxfId="3">
      <formula>AK5="MIXED"</formula>
    </cfRule>
    <cfRule type="expression" priority="73" dxfId="2">
      <formula>AK5="NO_CHANGE"</formula>
    </cfRule>
    <cfRule type="expression" priority="74" dxfId="2">
      <formula>AK5="NOT_APPLICABLE"</formula>
    </cfRule>
    <cfRule type="expression" priority="75" dxfId="4">
      <formula>AK5="ALTERNATIVE"</formula>
    </cfRule>
    <cfRule type="expression" priority="76" dxfId="2">
      <formula>AK5="UNAVAILABLE"</formula>
    </cfRule>
    <cfRule type="expression" priority="77" dxfId="2">
      <formula>AK5="NOT_APPLIED"</formula>
    </cfRule>
    <cfRule type="expression" priority="78" dxfId="2">
      <formula>AK5="UNKNOWN"</formula>
    </cfRule>
  </conditionalFormatting>
  <conditionalFormatting sqref="AQ5:AQ19">
    <cfRule type="expression" priority="79" dxfId="0">
      <formula>AQ5="ACTIONABLE"</formula>
    </cfRule>
    <cfRule type="expression" priority="80" dxfId="0">
      <formula>AQ5="RECOMMENDED"</formula>
    </cfRule>
    <cfRule type="expression" priority="81" dxfId="0">
      <formula>AQ5="HIGH"</formula>
    </cfRule>
    <cfRule type="expression" priority="82" dxfId="0">
      <formula>AQ5="SUFFICIENT"</formula>
    </cfRule>
    <cfRule type="expression" priority="83" dxfId="0">
      <formula>AQ5="PASS"</formula>
    </cfRule>
    <cfRule type="expression" priority="84" dxfId="0">
      <formula>AQ5="REALIZED"</formula>
    </cfRule>
    <cfRule type="expression" priority="85" dxfId="3">
      <formula>AQ5="TEST_REQUIRED"</formula>
    </cfRule>
    <cfRule type="expression" priority="86" dxfId="3">
      <formula>AQ5="REVIEW"</formula>
    </cfRule>
    <cfRule type="expression" priority="87" dxfId="3">
      <formula>AQ5="MEDIUM"</formula>
    </cfRule>
    <cfRule type="expression" priority="88" dxfId="3">
      <formula>AQ5="PARTIAL"</formula>
    </cfRule>
    <cfRule type="expression" priority="89" dxfId="3">
      <formula>AQ5="REQUIRES_VALIDATION"</formula>
    </cfRule>
    <cfRule type="expression" priority="90" dxfId="3">
      <formula>AQ5="VALIDATING"</formula>
    </cfRule>
    <cfRule type="expression" priority="91" dxfId="1">
      <formula>AQ5="BLOCKED"</formula>
    </cfRule>
    <cfRule type="expression" priority="92" dxfId="1">
      <formula>AQ5="LOW"</formula>
    </cfRule>
    <cfRule type="expression" priority="93" dxfId="1">
      <formula>AQ5="INSUFFICIENT_EVIDENCE"</formula>
    </cfRule>
    <cfRule type="expression" priority="94" dxfId="1">
      <formula>AQ5="FAILED_VALIDATION"</formula>
    </cfRule>
    <cfRule type="expression" priority="95" dxfId="1">
      <formula>AQ5="ROLLED_BACK"</formula>
    </cfRule>
    <cfRule type="expression" priority="96" dxfId="0">
      <formula>AQ5="SAVINGS"</formula>
    </cfRule>
    <cfRule type="expression" priority="97" dxfId="1">
      <formula>AQ5="COST_INCREASE"</formula>
    </cfRule>
    <cfRule type="expression" priority="98" dxfId="3">
      <formula>AQ5="MIXED"</formula>
    </cfRule>
    <cfRule type="expression" priority="99" dxfId="2">
      <formula>AQ5="NO_CHANGE"</formula>
    </cfRule>
    <cfRule type="expression" priority="100" dxfId="2">
      <formula>AQ5="NOT_APPLICABLE"</formula>
    </cfRule>
    <cfRule type="expression" priority="101" dxfId="4">
      <formula>AQ5="ALTERNATIVE"</formula>
    </cfRule>
    <cfRule type="expression" priority="102" dxfId="2">
      <formula>AQ5="UNAVAILABLE"</formula>
    </cfRule>
    <cfRule type="expression" priority="103" dxfId="2">
      <formula>AQ5="NOT_APPLIED"</formula>
    </cfRule>
    <cfRule type="expression" priority="104" dxfId="2">
      <formula>AQ5="UNKNOWN"</formula>
    </cfRule>
  </conditionalFormatting>
  <conditionalFormatting sqref="Z5:Z19">
    <cfRule type="expression" priority="105" dxfId="0">
      <formula>Z5="ACTIONABLE"</formula>
    </cfRule>
    <cfRule type="expression" priority="106" dxfId="0">
      <formula>Z5="RECOMMENDED"</formula>
    </cfRule>
    <cfRule type="expression" priority="107" dxfId="0">
      <formula>Z5="HIGH"</formula>
    </cfRule>
    <cfRule type="expression" priority="108" dxfId="0">
      <formula>Z5="SUFFICIENT"</formula>
    </cfRule>
    <cfRule type="expression" priority="109" dxfId="0">
      <formula>Z5="PASS"</formula>
    </cfRule>
    <cfRule type="expression" priority="110" dxfId="0">
      <formula>Z5="REALIZED"</formula>
    </cfRule>
    <cfRule type="expression" priority="111" dxfId="3">
      <formula>Z5="TEST_REQUIRED"</formula>
    </cfRule>
    <cfRule type="expression" priority="112" dxfId="3">
      <formula>Z5="REVIEW"</formula>
    </cfRule>
    <cfRule type="expression" priority="113" dxfId="3">
      <formula>Z5="MEDIUM"</formula>
    </cfRule>
    <cfRule type="expression" priority="114" dxfId="3">
      <formula>Z5="PARTIAL"</formula>
    </cfRule>
    <cfRule type="expression" priority="115" dxfId="3">
      <formula>Z5="REQUIRES_VALIDATION"</formula>
    </cfRule>
    <cfRule type="expression" priority="116" dxfId="3">
      <formula>Z5="VALIDATING"</formula>
    </cfRule>
    <cfRule type="expression" priority="117" dxfId="1">
      <formula>Z5="BLOCKED"</formula>
    </cfRule>
    <cfRule type="expression" priority="118" dxfId="1">
      <formula>Z5="LOW"</formula>
    </cfRule>
    <cfRule type="expression" priority="119" dxfId="1">
      <formula>Z5="INSUFFICIENT_EVIDENCE"</formula>
    </cfRule>
    <cfRule type="expression" priority="120" dxfId="1">
      <formula>Z5="FAILED_VALIDATION"</formula>
    </cfRule>
    <cfRule type="expression" priority="121" dxfId="1">
      <formula>Z5="ROLLED_BACK"</formula>
    </cfRule>
    <cfRule type="expression" priority="122" dxfId="0">
      <formula>Z5="SAVINGS"</formula>
    </cfRule>
    <cfRule type="expression" priority="123" dxfId="1">
      <formula>Z5="COST_INCREASE"</formula>
    </cfRule>
    <cfRule type="expression" priority="124" dxfId="3">
      <formula>Z5="MIXED"</formula>
    </cfRule>
    <cfRule type="expression" priority="125" dxfId="2">
      <formula>Z5="NO_CHANGE"</formula>
    </cfRule>
    <cfRule type="expression" priority="126" dxfId="2">
      <formula>Z5="NOT_APPLICABLE"</formula>
    </cfRule>
    <cfRule type="expression" priority="127" dxfId="4">
      <formula>Z5="ALTERNATIVE"</formula>
    </cfRule>
    <cfRule type="expression" priority="128" dxfId="2">
      <formula>Z5="UNAVAILABLE"</formula>
    </cfRule>
    <cfRule type="expression" priority="129" dxfId="2">
      <formula>Z5="NOT_APPLIED"</formula>
    </cfRule>
    <cfRule type="expression" priority="130" dxfId="2">
      <formula>Z5="UNKNOWN"</formula>
    </cfRule>
  </conditionalFormatting>
  <conditionalFormatting sqref="AN5:AN19">
    <cfRule type="expression" priority="131" dxfId="3">
      <formula>AN5=TRUE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17" customWidth="1" min="3" max="3"/>
    <col width="16" customWidth="1" min="4" max="4"/>
    <col width="22" customWidth="1" min="5" max="5"/>
    <col width="24" customWidth="1" min="6" max="6"/>
    <col width="30" customWidth="1" min="7" max="7"/>
    <col width="22" customWidth="1" min="8" max="8"/>
    <col width="14" customWidth="1" min="9" max="9"/>
    <col width="12" customWidth="1" min="10" max="10"/>
    <col width="11" customWidth="1" min="11" max="11"/>
    <col width="11" customWidth="1" min="12" max="12"/>
    <col width="22" customWidth="1" min="13" max="13"/>
    <col width="16" customWidth="1" min="14" max="14"/>
    <col width="20" customWidth="1" min="15" max="15"/>
    <col width="9" customWidth="1" min="16" max="16"/>
    <col width="16" customWidth="1" min="17" max="17"/>
    <col width="14" customWidth="1" min="18" max="18"/>
    <col width="14" customWidth="1" min="19" max="19"/>
    <col width="14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4" customWidth="1" min="30" max="30"/>
    <col width="14" customWidth="1" min="31" max="31"/>
    <col width="14" customWidth="1" min="32" max="32"/>
    <col width="19" customWidth="1" min="33" max="33"/>
    <col width="17" customWidth="1" min="34" max="34"/>
    <col width="17" customWidth="1" min="35" max="35"/>
    <col width="17" customWidth="1" min="36" max="36"/>
    <col width="48" customWidth="1" min="37" max="37"/>
    <col width="11" customWidth="1" min="38" max="38"/>
    <col width="13" customWidth="1" min="39" max="39"/>
    <col width="22" customWidth="1" min="40" max="40"/>
    <col width="22" customWidth="1" min="41" max="41"/>
    <col width="22" customWidth="1" min="42" max="42"/>
    <col width="20" customWidth="1" min="43" max="43"/>
    <col width="20" customWidth="1" min="44" max="44"/>
    <col width="20" customWidth="1" min="45" max="45"/>
  </cols>
  <sheetData>
    <row r="1" ht="28" customHeight="1">
      <c r="A1" s="1" t="inlineStr">
        <is>
          <t>Scenario Plans</t>
        </is>
      </c>
    </row>
    <row r="2" ht="24" customHeight="1">
      <c r="A2" s="2" t="inlineStr">
        <is>
          <t>One row per scenario. Economics are numeric and sortable; signed annual impact is positive for savings and negative for cost increase.</t>
        </is>
      </c>
    </row>
    <row r="3" ht="20" customHeight="1">
      <c r="A3" s="11" t="inlineStr">
        <is>
          <t>Identity</t>
        </is>
      </c>
      <c r="G3" s="12" t="inlineStr">
        <is>
          <t>Scenario</t>
        </is>
      </c>
      <c r="K3" s="11" t="inlineStr">
        <is>
          <t>Confidence</t>
        </is>
      </c>
      <c r="N3" s="12" t="inlineStr">
        <is>
          <t>Compatibility</t>
        </is>
      </c>
      <c r="P3" s="11" t="inlineStr">
        <is>
          <t>Economics</t>
        </is>
      </c>
      <c r="U3" s="12" t="inlineStr">
        <is>
          <t>DBU impact</t>
        </is>
      </c>
      <c r="X3" s="11" t="inlineStr">
        <is>
          <t>AWS impact</t>
        </is>
      </c>
      <c r="AA3" s="12" t="inlineStr">
        <is>
          <t>Total impact</t>
        </is>
      </c>
      <c r="AD3" s="11" t="inlineStr">
        <is>
          <t>Counterfactual cost</t>
        </is>
      </c>
      <c r="AH3" s="12" t="inlineStr">
        <is>
          <t>Contingent upside (pending re-evaluation)</t>
        </is>
      </c>
      <c r="AK3" s="11" t="inlineStr">
        <is>
          <t>Execution</t>
        </is>
      </c>
      <c r="AN3" s="12" t="inlineStr">
        <is>
          <t>Audit / traceability</t>
        </is>
      </c>
    </row>
    <row r="4" ht="34" customHeight="1">
      <c r="A4" s="13" t="inlineStr">
        <is>
          <t>Package ID</t>
        </is>
      </c>
      <c r="B4" s="13" t="inlineStr">
        <is>
          <t>Scenario ID</t>
        </is>
      </c>
      <c r="C4" s="13" t="inlineStr">
        <is>
          <t>Workspace ID</t>
        </is>
      </c>
      <c r="D4" s="13" t="inlineStr">
        <is>
          <t>Warehouse ID</t>
        </is>
      </c>
      <c r="E4" s="13" t="inlineStr">
        <is>
          <t>Warehouse</t>
        </is>
      </c>
      <c r="F4" s="13" t="inlineStr">
        <is>
          <t>Owner</t>
        </is>
      </c>
      <c r="G4" s="13" t="inlineStr">
        <is>
          <t>Scenario</t>
        </is>
      </c>
      <c r="H4" s="13" t="inlineStr">
        <is>
          <t>Type</t>
        </is>
      </c>
      <c r="I4" s="13" t="inlineStr">
        <is>
          <t>Status</t>
        </is>
      </c>
      <c r="J4" s="13" t="inlineStr">
        <is>
          <t>Recommended?</t>
        </is>
      </c>
      <c r="K4" s="13" t="inlineStr">
        <is>
          <t>Conf. score</t>
        </is>
      </c>
      <c r="L4" s="13" t="inlineStr">
        <is>
          <t>Confidence</t>
        </is>
      </c>
      <c r="M4" s="13" t="inlineStr">
        <is>
          <t>Confidence method</t>
        </is>
      </c>
      <c r="N4" s="13" t="inlineStr">
        <is>
          <t>Compatibility</t>
        </is>
      </c>
      <c r="O4" s="13" t="inlineStr">
        <is>
          <t>Compat. mode</t>
        </is>
      </c>
      <c r="P4" s="13" t="inlineStr">
        <is>
          <t>Currency</t>
        </is>
      </c>
      <c r="Q4" s="13" t="inlineStr">
        <is>
          <t>Base impact type</t>
        </is>
      </c>
      <c r="R4" s="13" t="inlineStr">
        <is>
          <t>Baseline DBU</t>
        </is>
      </c>
      <c r="S4" s="13" t="inlineStr">
        <is>
          <t>Baseline AWS</t>
        </is>
      </c>
      <c r="T4" s="13" t="inlineStr">
        <is>
          <t>Baseline total</t>
        </is>
      </c>
      <c r="U4" s="13" t="inlineStr">
        <is>
          <t>DBU low impact</t>
        </is>
      </c>
      <c r="V4" s="13" t="inlineStr">
        <is>
          <t>DBU base impact</t>
        </is>
      </c>
      <c r="W4" s="13" t="inlineStr">
        <is>
          <t>DBU high impact</t>
        </is>
      </c>
      <c r="X4" s="13" t="inlineStr">
        <is>
          <t>AWS low impact</t>
        </is>
      </c>
      <c r="Y4" s="13" t="inlineStr">
        <is>
          <t>AWS base impact</t>
        </is>
      </c>
      <c r="Z4" s="13" t="inlineStr">
        <is>
          <t>AWS high impact</t>
        </is>
      </c>
      <c r="AA4" s="13" t="inlineStr">
        <is>
          <t>Total low impact</t>
        </is>
      </c>
      <c r="AB4" s="13" t="inlineStr">
        <is>
          <t>Total base impact</t>
        </is>
      </c>
      <c r="AC4" s="13" t="inlineStr">
        <is>
          <t>Total high impact</t>
        </is>
      </c>
      <c r="AD4" s="13" t="inlineStr">
        <is>
          <t>Est. cost low</t>
        </is>
      </c>
      <c r="AE4" s="13" t="inlineStr">
        <is>
          <t>Est. cost base</t>
        </is>
      </c>
      <c r="AF4" s="13" t="inlineStr">
        <is>
          <t>Est. cost high</t>
        </is>
      </c>
      <c r="AG4" s="13" t="inlineStr">
        <is>
          <t>Estimation status</t>
        </is>
      </c>
      <c r="AH4" s="13" t="inlineStr">
        <is>
          <t>Contingent low impact</t>
        </is>
      </c>
      <c r="AI4" s="13" t="inlineStr">
        <is>
          <t>Contingent base impact</t>
        </is>
      </c>
      <c r="AJ4" s="13" t="inlineStr">
        <is>
          <t>Contingent high impact</t>
        </is>
      </c>
      <c r="AK4" s="13" t="inlineStr">
        <is>
          <t>Execution plan</t>
        </is>
      </c>
      <c r="AL4" s="13" t="inlineStr">
        <is>
          <t>Remeasure?</t>
        </is>
      </c>
      <c r="AM4" s="13" t="inlineStr">
        <is>
          <t>Remeasure days</t>
        </is>
      </c>
      <c r="AN4" s="13" t="inlineStr">
        <is>
          <t>Compatibility checks</t>
        </is>
      </c>
      <c r="AO4" s="13" t="inlineStr">
        <is>
          <t>Compatibility blockers</t>
        </is>
      </c>
      <c r="AP4" s="13" t="inlineStr">
        <is>
          <t>Execution plan JSON</t>
        </is>
      </c>
      <c r="AQ4" s="13" t="inlineStr">
        <is>
          <t>Candidate IDs</t>
        </is>
      </c>
      <c r="AR4" s="13" t="inlineStr">
        <is>
          <t>Dependencies</t>
        </is>
      </c>
      <c r="AS4" s="13" t="inlineStr">
        <is>
          <t>Invalidations</t>
        </is>
      </c>
    </row>
    <row r="5" ht="24" customHeight="1">
      <c r="A5" s="14" t="inlineStr">
        <is>
          <t>PKG-CAA063CBB4924A9B7B8E4514</t>
        </is>
      </c>
      <c r="B5" s="14" t="inlineStr">
        <is>
          <t>SCN-F6C96142718566E6610757F4</t>
        </is>
      </c>
      <c r="C5" s="14" t="inlineStr">
        <is>
          <t>1234567890123456</t>
        </is>
      </c>
      <c r="D5" s="14" t="inlineStr">
        <is>
          <t>wh-synth-001</t>
        </is>
      </c>
      <c r="E5" s="15" t="inlineStr">
        <is>
          <t>BI - Sales</t>
        </is>
      </c>
      <c r="F5" s="16" t="inlineStr">
        <is>
          <t>sales-bi@databricks.example</t>
        </is>
      </c>
      <c r="G5" s="15" t="inlineStr">
        <is>
          <t>Plan A — Optimize current warehouse type</t>
        </is>
      </c>
      <c r="H5" s="16" t="inlineStr">
        <is>
          <t>IN_PLACE_OPTIMIZATION</t>
        </is>
      </c>
      <c r="I5" s="18" t="inlineStr">
        <is>
          <t>RECOMMENDED</t>
        </is>
      </c>
      <c r="J5" s="18" t="b">
        <v>1</v>
      </c>
      <c r="K5" s="21" t="n">
        <v>0.78</v>
      </c>
      <c r="L5" s="18" t="inlineStr">
        <is>
          <t>MEDIUM</t>
        </is>
      </c>
      <c r="M5" s="16" t="inlineStr">
        <is>
          <t>minimum_step_confidence</t>
        </is>
      </c>
      <c r="N5" s="18" t="inlineStr">
        <is>
          <t>COMPATIBLE</t>
        </is>
      </c>
      <c r="O5" s="16" t="inlineStr">
        <is>
          <t>SYSTEM_TABLE_ONLY</t>
        </is>
      </c>
      <c r="P5" s="16" t="inlineStr">
        <is>
          <t>USD</t>
        </is>
      </c>
      <c r="Q5" s="18" t="inlineStr">
        <is>
          <t>SAVINGS</t>
        </is>
      </c>
      <c r="R5" s="19" t="n">
        <v>27000</v>
      </c>
      <c r="S5" s="19" t="n">
        <v>11725.1</v>
      </c>
      <c r="T5" s="19" t="n">
        <v>38725.1</v>
      </c>
      <c r="U5" s="19" t="n">
        <v>-6517.24</v>
      </c>
      <c r="V5" s="19" t="n">
        <v>3537.93</v>
      </c>
      <c r="W5" s="19" t="n">
        <v>10241.38</v>
      </c>
      <c r="X5" s="19" t="n">
        <v>4690.04</v>
      </c>
      <c r="Y5" s="19" t="n">
        <v>6800.56</v>
      </c>
      <c r="Z5" s="19" t="n">
        <v>8207.57</v>
      </c>
      <c r="AA5" s="19" t="n">
        <v>-1827.2</v>
      </c>
      <c r="AB5" s="19" t="n">
        <v>10338.49</v>
      </c>
      <c r="AC5" s="19" t="n">
        <v>18448.95</v>
      </c>
      <c r="AD5" s="19" t="n">
        <v>20276.15</v>
      </c>
      <c r="AE5" s="19" t="n">
        <v>28386.61</v>
      </c>
      <c r="AF5" s="19" t="n">
        <v>40552.3</v>
      </c>
      <c r="AG5" s="16" t="inlineStr">
        <is>
          <t>PROVISIONAL_MODELED_RANGE</t>
        </is>
      </c>
      <c r="AH5" s="19" t="n">
        <v>2187.48</v>
      </c>
      <c r="AI5" s="19" t="n">
        <v>24470.97</v>
      </c>
      <c r="AJ5" s="19" t="n">
        <v>38725.1</v>
      </c>
      <c r="AK5" s="16" t="inlineStr">
        <is>
          <t>Plan A — Optimize current warehouse type | 1. warehouse_size LARGE→MEDIUM [READY_FOR_CANARY]; priced AUTHORITATIVE | 2. max_clusters 4→3 [PENDING_REEVALUATION]; priced CONTINGENT | 3. min_clusters 2→1 [PENDING_REEVALUATION]; priced CONTINGENT | 4. auto_stop_minutes 120→30 [PENDING_REEVALUATION]; priced CONTINGENT | 5. REMEASURE_AND_REGENERATE [REQUIRED]; remeasure 7d</t>
        </is>
      </c>
      <c r="AL5" s="18" t="b">
        <v>1</v>
      </c>
      <c r="AM5" s="17" t="n">
        <v>7</v>
      </c>
      <c r="AN5" s="22" t="inlineStr">
        <is>
          <t>[]</t>
        </is>
      </c>
      <c r="AO5" s="22" t="inlineStr">
        <is>
          <t>[]</t>
        </is>
      </c>
      <c r="AP5" s="22" t="inlineStr">
        <is>
          <t>[{"action":null,"candidate_id":"CAND-CDC9DD7E27E8CA6ED23E9CEB","confidence":{"components":{"coverage":1.0,"epoch_maturity":1.0,"sample":1.0,"signal":1.0,"stability":0.91},"level":"MEDIUM","method":"deterministic_evidence_score","score":0.78},"current_value":"LARGE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6800.56,"high":8207.57,"low":4690.04},"dbu":{"base":3537.93,"high":10241.38,"low":-6517.24},"total":{"base":10338.49,"high":18448.95,"low":-1827.2}}},"recommended_value":"MEDIUM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-4CD23256DB0CA20822638058","confidence":{"components":{"coverage":1.0,"epoch_maturity":1.0,"sample":1.0,"signal":1.0,"stability":0.91},"level":"HIGH","method":"deterministic_evidence_score","score":0.93},"current_value":4,"dependencies":[{"condition":null,"dependency_type":"KNOB","ref_id":"warehouse_size"}],"execution_state":"PENDING_REEVALUATION","invalidates":["min_clusters"],"knob":"max_clusters","projected_economics":{"pricing_basis":"CONTINGENT_PENDING_REEVALUATION","running_savings_365d":{"aws":{"base":6800.56,"high":8207.57,"low":4690.04},"dbu":{"base":3537.93,"high":10241.38,"low":-6517.24},"total":{"base":10338.49,"high":18448.95,"low":-1827.2}}},"recommended_value":3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null,"candidate_id":"CAND-F7CD1FD114943EA1AAB92DF2","confidence":{"components":{"coverage":1.0,"epoch_maturity":1.0,"sample":1.0,"signal":1.0,"stability":0.91},"level":"MEDIUM","method":"deterministic_evidence_score","score":0.78},"current_value":2,"dependencies":[{"condition":null,"dependency_type":"KNOB","ref_id":"warehouse_size"},{"condition":null,"dependency_type":"KNOB","ref_id":"max_clusters"}],"execution_state":"PENDING_REEVALUATION","invalidates":["auto_stop_minutes"],"knob":"min_clusters","projected_economics":{"pricing_basis":"CONTINGENT_PENDING_REEVALUATION","running_savings_365d":{"aws":{"base":8207.57,"high":11021.59,"low":4690.04},"dbu":{"base":10241.38,"high":23648.28,"low":-6517.24},"total":{"base":18448.95,"high":34669.87,"low":-1827.2}}},"recommended_value":1,"step":3,"step_type":"CANDIDATE","technique_id":"WH-MIN-CLUSTER-REDUCE-001","validation":{"action_after":null,"remeasure_days":null,"success_metrics":["p95_execution_ms","p99_execution_ms","failure_rate","queue_wait","dbu_cost","aws_cost"],"validation_type":"A_B_CANARY"}},{"action":null,"candidate_id":"CAND-1EB011ABA71F8CF380C298A8","confidence":{"components":{"coverage":1.0,"epoch_maturity":1.0,"sample":1.0,"signal":1.0,"stability":0.91},"level":"HIGH","method":"deterministic_evidence_score","score":0.93},"current_value":120,"dependencies":[{"condition":null,"dependency_type":"KNOB","ref_id":"min_clusters"}],"execution_state":"PENDING_REEVALUATION","invalidates":[],"knob":"auto_stop_minutes","projected_economics":{"pricing_basis":"CONTINGENT_PENDING_REEVALUATION","running_savings_365d":{"aws":{"base":9252.28,"high":11725.1,"low":5386.51},"dbu":{"base":15218.69,"high":27000.0,"low":-3199.03},"total":{"base":24470.97,"high":38725.1,"low":2187.48}}},"recommended_value":30,"step":4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5,"step_type":"REMEASURE","technique_id":null,"validation":{"action_after":"REGENERATE_RECOMMENDATIONS","remeasure_days":7,"success_metrics":[],"validation_type":"REMEASURE"}}]</t>
        </is>
      </c>
      <c r="AQ5" s="22" t="inlineStr">
        <is>
          <t>["CAND-CDC9DD7E27E8CA6ED23E9CEB","CAND-4CD23256DB0CA20822638058","CAND-F7CD1FD114943EA1AAB92DF2","CAND-1EB011ABA71F8CF380C298A8"]</t>
        </is>
      </c>
      <c r="AR5" s="22" t="inlineStr">
        <is>
          <t>[{"condition":null,"dependency_type":"KNOB","ref_id":"warehouse_channel"},{"condition":null,"dependency_type":"KNOB","ref_id":"warehouse_size"},{"condition":null,"dependency_type":"KNOB","ref_id":"warehouse_size"},{"condition":null,"dependency_type":"KNOB","ref_id":"max_clusters"},{"condition":null,"dependency_type":"KNOB","ref_id":"min_clusters"}]</t>
        </is>
      </c>
      <c r="AS5" s="22" t="inlineStr">
        <is>
          <t>["auto_stop_minutes","max_clusters","min_clusters"]</t>
        </is>
      </c>
    </row>
    <row r="6" ht="24" customHeight="1">
      <c r="A6" s="14" t="inlineStr">
        <is>
          <t>PKG-CAA063CBB4924A9B7B8E4514</t>
        </is>
      </c>
      <c r="B6" s="14" t="inlineStr">
        <is>
          <t>SCN-4CE208EB461A228615816740</t>
        </is>
      </c>
      <c r="C6" s="14" t="inlineStr">
        <is>
          <t>1234567890123456</t>
        </is>
      </c>
      <c r="D6" s="14" t="inlineStr">
        <is>
          <t>wh-synth-001</t>
        </is>
      </c>
      <c r="E6" s="15" t="inlineStr">
        <is>
          <t>BI - Sales</t>
        </is>
      </c>
      <c r="F6" s="16" t="inlineStr">
        <is>
          <t>sales-bi@databricks.example</t>
        </is>
      </c>
      <c r="G6" s="15" t="inlineStr">
        <is>
          <t>Plan B — Serverless migration experiment</t>
        </is>
      </c>
      <c r="H6" s="16" t="inlineStr">
        <is>
          <t>WAREHOUSE_TYPE_MIGRATION</t>
        </is>
      </c>
      <c r="I6" s="18" t="inlineStr">
        <is>
          <t>ALTERNATIVE</t>
        </is>
      </c>
      <c r="J6" s="18" t="b">
        <v>0</v>
      </c>
      <c r="K6" s="21" t="n">
        <v>0.78</v>
      </c>
      <c r="L6" s="18" t="inlineStr">
        <is>
          <t>MEDIUM</t>
        </is>
      </c>
      <c r="M6" s="16" t="inlineStr">
        <is>
          <t>minimum_step_confidence</t>
        </is>
      </c>
      <c r="N6" s="18" t="inlineStr">
        <is>
          <t>REQUIRES_VALIDATION</t>
        </is>
      </c>
      <c r="O6" s="16" t="inlineStr">
        <is>
          <t>B_READ_ONLY_API</t>
        </is>
      </c>
      <c r="P6" s="16" t="inlineStr">
        <is>
          <t>USD</t>
        </is>
      </c>
      <c r="Q6" s="18" t="inlineStr">
        <is>
          <t>SAVINGS</t>
        </is>
      </c>
      <c r="R6" s="19" t="n">
        <v>27000</v>
      </c>
      <c r="S6" s="19" t="n">
        <v>11725.1</v>
      </c>
      <c r="T6" s="19" t="n">
        <v>38725.1</v>
      </c>
      <c r="U6" s="19" t="n">
        <v>693.6900000000001</v>
      </c>
      <c r="V6" s="19" t="n">
        <v>693.6900000000001</v>
      </c>
      <c r="W6" s="19" t="n">
        <v>13846.85</v>
      </c>
      <c r="X6" s="19" t="n">
        <v>11725.1</v>
      </c>
      <c r="Y6" s="19" t="n">
        <v>11725.1</v>
      </c>
      <c r="Z6" s="19" t="n">
        <v>11725.1</v>
      </c>
      <c r="AA6" s="19" t="n">
        <v>12418.79</v>
      </c>
      <c r="AB6" s="19" t="n">
        <v>12418.79</v>
      </c>
      <c r="AC6" s="19" t="n">
        <v>25571.95</v>
      </c>
      <c r="AD6" s="19" t="n">
        <v>13153.15</v>
      </c>
      <c r="AE6" s="19" t="n">
        <v>26306.31</v>
      </c>
      <c r="AF6" s="19" t="n">
        <v>26306.31</v>
      </c>
      <c r="AG6" s="16" t="inlineStr">
        <is>
          <t>PRE_CANARY_MODELED_RANGE</t>
        </is>
      </c>
      <c r="AH6" s="19" t="inlineStr">
        <is>
          <t>UNAVAILABLE</t>
        </is>
      </c>
      <c r="AI6" s="19" t="inlineStr">
        <is>
          <t>UNAVAILABLE</t>
        </is>
      </c>
      <c r="AJ6" s="19" t="inlineStr">
        <is>
          <t>UNAVAILABLE</t>
        </is>
      </c>
      <c r="AK6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6" s="18" t="b">
        <v>1</v>
      </c>
      <c r="AM6" s="17" t="n">
        <v>7</v>
      </c>
      <c r="AN6" s="22" t="inlineStr">
        <is>
          <t>[{"check":"aws_region_serverless_availability","details":"{\"policy\":\"Databricks documents Serverless SQL warehouse support across AWS regions.\",\"region\":\"us-east-1\"}","evidence_refs":["EVID-8C9114054238A654DB9B7C17"],"requires_hitl":false,"status":"PASS"},{"check":"workspace_serverless_observed","details":"true","evidence_refs":["EVID-14B9E1F21FB6239C1605B425"],"requires_hitl":false,"status":"PASS"},{"check":"workspace_serverless_enablement","details":"true","evidence_refs":["EVID-CB69D69A29C6EA7DB46849D4"],"requires_hitl":false,"status":"PASS"},{"check":"external_legacy_hive_metastore_workspace_setting","details":"{\"config_keys\":[],\"detected\":false}","evidence_refs":["EVID-24051B9A42F0A0296E9942FB"],"requires_hitl":false,"status":"PASS"},{"check":"s3_access_policy_compatibility","details":"\"UNKNOWN\"","evidence_refs":["EVID-032D2043227CEDC95604F643"],"requires_hitl":true,"status":"UNKNOWN"},{"check":"legacy_hive_metastore_sql_reference","details":"{\"reference_queries\":0,\"visible_pct\":100.0}","evidence_refs":["EVID-6A39CCAC873FB9B1E4CBD8F0"],"requires_hitl":true,"status":"UNKNOWN"}]</t>
        </is>
      </c>
      <c r="AO6" s="22" t="inlineStr">
        <is>
          <t>[{"check":"s3_access_policy_compatibility","details":"\"UNKNOWN\"","evidence_refs":["EVID-032D2043227CEDC95604F643"],"requires_hitl":true,"status":"UNKNOWN"},{"check":"legacy_hive_metastore_sql_reference","details":"{\"reference_queries\":0,\"visible_pct\":100.0}","evidence_refs":["EVID-6A39CCAC873FB9B1E4CBD8F0"],"requires_hitl":true,"status":"UNKNOWN"}]</t>
        </is>
      </c>
      <c r="AP6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-78762B303EA11AF80300E2C3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11725.1,"high":11725.1,"low":11725.1},"dbu":{"base":693.69,"high":13846.85,"low":693.69},"total":{"base":12418.79,"high":25571.95,"low":12418.79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6" s="22" t="inlineStr">
        <is>
          <t>["CAND-78762B303EA11AF80300E2C3"]</t>
        </is>
      </c>
      <c r="AR6" s="22" t="inlineStr">
        <is>
          <t>[]</t>
        </is>
      </c>
      <c r="AS6" s="22" t="inlineStr">
        <is>
          <t>["auto_stop_minutes","max_clusters","min_clusters","warehouse_size"]</t>
        </is>
      </c>
    </row>
    <row r="7" ht="24" customHeight="1">
      <c r="A7" s="14" t="inlineStr">
        <is>
          <t>PKG-3542FB38D0CE64996A1D7C9D</t>
        </is>
      </c>
      <c r="B7" s="14" t="inlineStr">
        <is>
          <t>SCN-CB5E8798D5A13F523639541D</t>
        </is>
      </c>
      <c r="C7" s="14" t="inlineStr">
        <is>
          <t>1234567890123456</t>
        </is>
      </c>
      <c r="D7" s="14" t="inlineStr">
        <is>
          <t>wh-synth-004</t>
        </is>
      </c>
      <c r="E7" s="15" t="inlineStr">
        <is>
          <t>ETL Heavy</t>
        </is>
      </c>
      <c r="F7" s="16" t="inlineStr">
        <is>
          <t>data-engineering@databricks.example</t>
        </is>
      </c>
      <c r="G7" s="15" t="inlineStr">
        <is>
          <t>Plan A — Optimize current warehouse type</t>
        </is>
      </c>
      <c r="H7" s="16" t="inlineStr">
        <is>
          <t>IN_PLACE_OPTIMIZATION</t>
        </is>
      </c>
      <c r="I7" s="18" t="inlineStr">
        <is>
          <t>RECOMMENDED</t>
        </is>
      </c>
      <c r="J7" s="18" t="b">
        <v>1</v>
      </c>
      <c r="K7" s="21" t="n">
        <v>0.93</v>
      </c>
      <c r="L7" s="18" t="inlineStr">
        <is>
          <t>HIGH</t>
        </is>
      </c>
      <c r="M7" s="16" t="inlineStr">
        <is>
          <t>minimum_step_confidence</t>
        </is>
      </c>
      <c r="N7" s="18" t="inlineStr">
        <is>
          <t>COMPATIBLE</t>
        </is>
      </c>
      <c r="O7" s="16" t="inlineStr">
        <is>
          <t>SYSTEM_TABLE_ONLY</t>
        </is>
      </c>
      <c r="P7" s="16" t="inlineStr">
        <is>
          <t>USD</t>
        </is>
      </c>
      <c r="Q7" s="18" t="inlineStr">
        <is>
          <t>COST_INCREASE</t>
        </is>
      </c>
      <c r="R7" s="19" t="n">
        <v>64000</v>
      </c>
      <c r="S7" s="19" t="n">
        <v>74769.7</v>
      </c>
      <c r="T7" s="19" t="n">
        <v>138769.7</v>
      </c>
      <c r="U7" s="19" t="n">
        <v>-64000</v>
      </c>
      <c r="V7" s="19" t="n">
        <v>-25600</v>
      </c>
      <c r="W7" s="19" t="n">
        <v>0</v>
      </c>
      <c r="X7" s="19" t="n">
        <v>-59815.76</v>
      </c>
      <c r="Y7" s="19" t="n">
        <v>-19440.12</v>
      </c>
      <c r="Z7" s="19" t="n">
        <v>7476.97</v>
      </c>
      <c r="AA7" s="19" t="n">
        <v>-123815.76</v>
      </c>
      <c r="AB7" s="19" t="n">
        <v>-45040.12</v>
      </c>
      <c r="AC7" s="19" t="n">
        <v>7476.97</v>
      </c>
      <c r="AD7" s="19" t="n">
        <v>131292.73</v>
      </c>
      <c r="AE7" s="19" t="n">
        <v>183809.82</v>
      </c>
      <c r="AF7" s="19" t="n">
        <v>262585.46</v>
      </c>
      <c r="AG7" s="16" t="inlineStr">
        <is>
          <t>MODELED_RANGE</t>
        </is>
      </c>
      <c r="AH7" s="19" t="n">
        <v>-116544.16</v>
      </c>
      <c r="AI7" s="19" t="n">
        <v>-34132.73</v>
      </c>
      <c r="AJ7" s="19" t="n">
        <v>22020.16</v>
      </c>
      <c r="AK7" s="16" t="inlineStr">
        <is>
          <t>Plan A — Optimize current warehouse type | 1. warehouse_size X_LARGE→2X_LARGE [READY]; priced AUTHORITATIVE | 2. auto_stop_minutes 60→30 [PENDING_REEVALUATION]; priced CONTINGENT | 3. REMEASURE_AND_REGENERATE [REQUIRED]; remeasure 7d</t>
        </is>
      </c>
      <c r="AL7" s="18" t="b">
        <v>1</v>
      </c>
      <c r="AM7" s="17" t="n">
        <v>7</v>
      </c>
      <c r="AN7" s="22" t="inlineStr">
        <is>
          <t>[]</t>
        </is>
      </c>
      <c r="AO7" s="22" t="inlineStr">
        <is>
          <t>[]</t>
        </is>
      </c>
      <c r="AP7" s="22" t="inlineStr">
        <is>
          <t>[{"action":null,"candidate_id":"CAND-F6DA76343C4F0EEC6747DD79","confidence":{"components":{"coverage":1.0,"epoch_maturity":1.0,"sample":1.0,"signal":1.0,"stability":0.91},"level":"HIGH","method":"deterministic_evidence_score","score":0.93},"current_value":"X_LARGE","dependencies":[{"condition":null,"dependency_type":"KNOB","ref_id":"warehouse_channel"}],"execution_state":"READY","invalidates":["max_clusters","min_clusters","auto_stop_minutes"],"knob":"warehouse_size","projected_economics":{"pricing_basis":"AUTHORITATIVE","running_savings_365d":{"aws":{"base":-19440.12,"high":7476.97,"low":-59815.76},"dbu":{"base":-25600.0,"high":0.0,"low":-64000.0},"total":{"base":-45040.12,"high":7476.97,"low":-123815.76}}},"recommended_value":"2X_LARGE","step":1,"step_type":"CANDIDATE","technique_id":"WH-SIZE-UPSIZE-001","validation":{"action_after":null,"remeasure_days":null,"success_metrics":[],"validation_type":"NONE"}},{"action":null,"candidate_id":"CAND-A122082B3BB2FB0568C91BF4","confidence":{"components":{"coverage":1.0,"epoch_maturity":1.0,"sample":1.0,"signal":1.0,"stability":0.91},"level":"HIGH","method":"deterministic_evidence_score","score":0.93},"current_value":60,"dependencies":[{"condition":null,"dependency_type":"KNOB","ref_id":"min_clusters"}],"execution_state":"PENDING_REEVALUATION","invalidates":[],"knob":"auto_stop_minutes","projected_economics":{"pricing_basis":"CONTINGENT_PENDING_REEVALUATION","running_savings_365d":{"aws":{"base":-13849.65,"high":14930.93,"low":-56088.78},"dbu":{"base":-20283.08,"high":7089.23,"low":-60455.38},"total":{"base":-34132.73,"high":22020.16,"low":-116544.16}}},"recommended_value":30,"step":2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7" s="22" t="inlineStr">
        <is>
          <t>["CAND-F6DA76343C4F0EEC6747DD79","CAND-A122082B3BB2FB0568C91BF4"]</t>
        </is>
      </c>
      <c r="AR7" s="22" t="inlineStr">
        <is>
          <t>[{"condition":null,"dependency_type":"KNOB","ref_id":"warehouse_channel"},{"condition":null,"dependency_type":"KNOB","ref_id":"min_clusters"}]</t>
        </is>
      </c>
      <c r="AS7" s="22" t="inlineStr">
        <is>
          <t>["auto_stop_minutes","max_clusters","min_clusters"]</t>
        </is>
      </c>
    </row>
    <row r="8" ht="24" customHeight="1">
      <c r="A8" s="14" t="inlineStr">
        <is>
          <t>PKG-3542FB38D0CE64996A1D7C9D</t>
        </is>
      </c>
      <c r="B8" s="14" t="inlineStr">
        <is>
          <t>SCN-AF126D31FABFB5905E6640A4</t>
        </is>
      </c>
      <c r="C8" s="14" t="inlineStr">
        <is>
          <t>1234567890123456</t>
        </is>
      </c>
      <c r="D8" s="14" t="inlineStr">
        <is>
          <t>wh-synth-004</t>
        </is>
      </c>
      <c r="E8" s="15" t="inlineStr">
        <is>
          <t>ETL Heavy</t>
        </is>
      </c>
      <c r="F8" s="16" t="inlineStr">
        <is>
          <t>data-engineering@databricks.example</t>
        </is>
      </c>
      <c r="G8" s="15" t="inlineStr">
        <is>
          <t>Plan B — Serverless migration experiment</t>
        </is>
      </c>
      <c r="H8" s="16" t="inlineStr">
        <is>
          <t>WAREHOUSE_TYPE_MIGRATION</t>
        </is>
      </c>
      <c r="I8" s="18" t="inlineStr">
        <is>
          <t>ALTERNATIVE</t>
        </is>
      </c>
      <c r="J8" s="18" t="b">
        <v>0</v>
      </c>
      <c r="K8" s="21" t="n">
        <v>0.78</v>
      </c>
      <c r="L8" s="18" t="inlineStr">
        <is>
          <t>MEDIUM</t>
        </is>
      </c>
      <c r="M8" s="16" t="inlineStr">
        <is>
          <t>minimum_step_confidence</t>
        </is>
      </c>
      <c r="N8" s="18" t="inlineStr">
        <is>
          <t>REQUIRES_VALIDATION</t>
        </is>
      </c>
      <c r="O8" s="16" t="inlineStr">
        <is>
          <t>B_READ_ONLY_API</t>
        </is>
      </c>
      <c r="P8" s="16" t="inlineStr">
        <is>
          <t>USD</t>
        </is>
      </c>
      <c r="Q8" s="18" t="inlineStr">
        <is>
          <t>COST_INCREASE</t>
        </is>
      </c>
      <c r="R8" s="19" t="n">
        <v>64000</v>
      </c>
      <c r="S8" s="19" t="n">
        <v>74769.7</v>
      </c>
      <c r="T8" s="19" t="n">
        <v>138769.7</v>
      </c>
      <c r="U8" s="19" t="n">
        <v>-116656.57</v>
      </c>
      <c r="V8" s="19" t="n">
        <v>-103752.53</v>
      </c>
      <c r="W8" s="19" t="n">
        <v>38191.92</v>
      </c>
      <c r="X8" s="19" t="n">
        <v>74769.7</v>
      </c>
      <c r="Y8" s="19" t="n">
        <v>74769.7</v>
      </c>
      <c r="Z8" s="19" t="n">
        <v>74769.7</v>
      </c>
      <c r="AA8" s="19" t="n">
        <v>-41886.87</v>
      </c>
      <c r="AB8" s="19" t="n">
        <v>-28982.83</v>
      </c>
      <c r="AC8" s="19" t="n">
        <v>112961.62</v>
      </c>
      <c r="AD8" s="19" t="n">
        <v>25808.08</v>
      </c>
      <c r="AE8" s="19" t="n">
        <v>167752.53</v>
      </c>
      <c r="AF8" s="19" t="n">
        <v>180656.57</v>
      </c>
      <c r="AG8" s="16" t="inlineStr">
        <is>
          <t>PRE_CANARY_MODELED_RANGE</t>
        </is>
      </c>
      <c r="AH8" s="19" t="inlineStr">
        <is>
          <t>UNAVAILABLE</t>
        </is>
      </c>
      <c r="AI8" s="19" t="inlineStr">
        <is>
          <t>UNAVAILABLE</t>
        </is>
      </c>
      <c r="AJ8" s="19" t="inlineStr">
        <is>
          <t>UNAVAILABLE</t>
        </is>
      </c>
      <c r="AK8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8" s="18" t="b">
        <v>1</v>
      </c>
      <c r="AM8" s="17" t="n">
        <v>7</v>
      </c>
      <c r="AN8" s="22" t="inlineStr">
        <is>
          <t>[{"check":"aws_region_serverless_availability","details":"{\"policy\":\"Databricks documents Serverless SQL warehouse support across AWS regions.\",\"region\":\"us-east-1\"}","evidence_refs":["EVID-54D50055FE0A3E96237477FE"],"requires_hitl":false,"status":"PASS"},{"check":"workspace_serverless_observed","details":"true","evidence_refs":["EVID-F596821EABB66977C5570861"],"requires_hitl":false,"status":"PASS"},{"check":"workspace_serverless_enablement","details":"true","evidence_refs":["EVID-2E3E084CE9E030F23CDF5C69"],"requires_hitl":false,"status":"PASS"},{"check":"external_legacy_hive_metastore_workspace_setting","details":"{\"config_keys\":[],\"detected\":false}","evidence_refs":["EVID-3C8A3CCC5CABDA8C40603603"],"requires_hitl":false,"status":"PASS"},{"check":"s3_access_policy_compatibility","details":"\"UNKNOWN\"","evidence_refs":["EVID-D1E857F4F27E1D721E697232"],"requires_hitl":true,"status":"UNKNOWN"},{"check":"legacy_hive_metastore_sql_reference","details":"{\"reference_queries\":0,\"visible_pct\":100.0}","evidence_refs":["EVID-44DE1AAFD8BD8101A789E6D3"],"requires_hitl":true,"status":"UNKNOWN"}]</t>
        </is>
      </c>
      <c r="AO8" s="22" t="inlineStr">
        <is>
          <t>[{"check":"s3_access_policy_compatibility","details":"\"UNKNOWN\"","evidence_refs":["EVID-D1E857F4F27E1D721E697232"],"requires_hitl":true,"status":"UNKNOWN"},{"check":"legacy_hive_metastore_sql_reference","details":"{\"reference_queries\":0,\"visible_pct\":100.0}","evidence_refs":["EVID-44DE1AAFD8BD8101A789E6D3"],"requires_hitl":true,"status":"UNKNOWN"}]</t>
        </is>
      </c>
      <c r="AP8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-335D8BD4AAC3CB041A5DB0CB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74769.7,"high":74769.7,"low":74769.7},"dbu":{"base":-103752.53,"high":38191.92,"low":-116656.57},"total":{"base":-28982.83,"high":112961.62,"low":-41886.87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8" s="22" t="inlineStr">
        <is>
          <t>["CAND-335D8BD4AAC3CB041A5DB0CB"]</t>
        </is>
      </c>
      <c r="AR8" s="22" t="inlineStr">
        <is>
          <t>[]</t>
        </is>
      </c>
      <c r="AS8" s="22" t="inlineStr">
        <is>
          <t>["auto_stop_minutes","max_clusters","min_clusters","warehouse_size"]</t>
        </is>
      </c>
    </row>
    <row r="9" ht="24" customHeight="1">
      <c r="A9" s="14" t="inlineStr">
        <is>
          <t>PKG-C269EAEEE79C014B6AC9A50D</t>
        </is>
      </c>
      <c r="B9" s="14" t="inlineStr">
        <is>
          <t>SCN-CE4B0C3CDE2534722A4AAADE</t>
        </is>
      </c>
      <c r="C9" s="14" t="inlineStr">
        <is>
          <t>1234567890123456</t>
        </is>
      </c>
      <c r="D9" s="14" t="inlineStr">
        <is>
          <t>wh-synth-006</t>
        </is>
      </c>
      <c r="E9" s="15" t="inlineStr">
        <is>
          <t>Executive Dashboards</t>
        </is>
      </c>
      <c r="F9" s="16" t="inlineStr">
        <is>
          <t>exec-analytics@databricks.example</t>
        </is>
      </c>
      <c r="G9" s="15" t="inlineStr">
        <is>
          <t>Plan A — Optimize current warehouse type</t>
        </is>
      </c>
      <c r="H9" s="16" t="inlineStr">
        <is>
          <t>IN_PLACE_OPTIMIZATION</t>
        </is>
      </c>
      <c r="I9" s="18" t="inlineStr">
        <is>
          <t>RECOMMENDED</t>
        </is>
      </c>
      <c r="J9" s="18" t="b">
        <v>1</v>
      </c>
      <c r="K9" s="21" t="n">
        <v>0.78</v>
      </c>
      <c r="L9" s="18" t="inlineStr">
        <is>
          <t>MEDIUM</t>
        </is>
      </c>
      <c r="M9" s="16" t="inlineStr">
        <is>
          <t>minimum_step_confidence</t>
        </is>
      </c>
      <c r="N9" s="18" t="inlineStr">
        <is>
          <t>COMPATIBLE</t>
        </is>
      </c>
      <c r="O9" s="16" t="inlineStr">
        <is>
          <t>SYSTEM_TABLE_ONLY</t>
        </is>
      </c>
      <c r="P9" s="16" t="inlineStr">
        <is>
          <t>USD</t>
        </is>
      </c>
      <c r="Q9" s="18" t="inlineStr">
        <is>
          <t>SAVINGS</t>
        </is>
      </c>
      <c r="R9" s="19" t="n">
        <v>48000</v>
      </c>
      <c r="S9" s="19" t="n">
        <v>21285.98</v>
      </c>
      <c r="T9" s="19" t="n">
        <v>69285.98</v>
      </c>
      <c r="U9" s="19" t="n">
        <v>-11586.21</v>
      </c>
      <c r="V9" s="19" t="n">
        <v>6289.66</v>
      </c>
      <c r="W9" s="19" t="n">
        <v>18206.9</v>
      </c>
      <c r="X9" s="19" t="n">
        <v>8514.389999999999</v>
      </c>
      <c r="Y9" s="19" t="n">
        <v>12345.87</v>
      </c>
      <c r="Z9" s="19" t="n">
        <v>14900.19</v>
      </c>
      <c r="AA9" s="19" t="n">
        <v>-3071.82</v>
      </c>
      <c r="AB9" s="19" t="n">
        <v>18635.53</v>
      </c>
      <c r="AC9" s="19" t="n">
        <v>33107.09</v>
      </c>
      <c r="AD9" s="19" t="n">
        <v>36178.89</v>
      </c>
      <c r="AE9" s="19" t="n">
        <v>50650.45</v>
      </c>
      <c r="AF9" s="19" t="n">
        <v>72357.8</v>
      </c>
      <c r="AG9" s="16" t="inlineStr">
        <is>
          <t>PROVISIONAL_MODELED_RANGE</t>
        </is>
      </c>
      <c r="AH9" s="19" t="n">
        <v>3560.98</v>
      </c>
      <c r="AI9" s="19" t="n">
        <v>39197.2</v>
      </c>
      <c r="AJ9" s="19" t="n">
        <v>67597.64</v>
      </c>
      <c r="AK9" s="16" t="inlineStr">
        <is>
          <t>Plan A — Optimize current warehouse type | 1. warehouse_size LARGE→MEDIUM [READY_FOR_CANARY]; priced AUTHORITATIVE | 2. max_clusters 6→4 [PENDING_REEVALUATION]; priced CONTINGENT | 3. min_clusters 3→2 [PENDING_REEVALUATION]; priced CONTINGENT | 4. auto_stop_minutes 120→45 [PENDING_REEVALUATION]; priced CONTINGENT | 5. REMEASURE_AND_REGENERATE [REQUIRED]; remeasure 7d</t>
        </is>
      </c>
      <c r="AL9" s="18" t="b">
        <v>1</v>
      </c>
      <c r="AM9" s="17" t="n">
        <v>7</v>
      </c>
      <c r="AN9" s="22" t="inlineStr">
        <is>
          <t>[]</t>
        </is>
      </c>
      <c r="AO9" s="22" t="inlineStr">
        <is>
          <t>[]</t>
        </is>
      </c>
      <c r="AP9" s="22" t="inlineStr">
        <is>
          <t>[{"action":null,"candidate_id":"CAND-C86EF28A42FC56DB5AD00959","confidence":{"components":{"coverage":1.0,"epoch_maturity":1.0,"sample":1.0,"signal":1.0,"stability":0.91},"level":"MEDIUM","method":"deterministic_evidence_score","score":0.78},"current_value":"LARGE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12345.87,"high":14900.19,"low":8514.39},"dbu":{"base":6289.66,"high":18206.9,"low":-11586.21},"total":{"base":18635.53,"high":33107.09,"low":-3071.82}}},"recommended_value":"MEDIUM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-0B0E829222AD5BA2CA4E7612","confidence":{"components":{"coverage":1.0,"epoch_maturity":1.0,"sample":1.0,"signal":1.0,"stability":0.91},"level":"HIGH","method":"deterministic_evidence_score","score":0.93},"current_value":6,"dependencies":[{"condition":null,"dependency_type":"KNOB","ref_id":"warehouse_size"}],"execution_state":"PENDING_REEVALUATION","invalidates":["min_clusters"],"knob":"max_clusters","projected_economics":{"pricing_basis":"CONTINGENT_PENDING_REEVALUATION","running_savings_365d":{"aws":{"base":12345.87,"high":14900.19,"low":8514.39},"dbu":{"base":6289.66,"high":18206.9,"low":-11586.21},"total":{"base":18635.53,"high":33107.09,"low":-3071.82}}},"recommended_value":4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null,"candidate_id":"CAND-E2B81BBFEB2D221645C6CC57","confidence":{"components":{"coverage":1.0,"epoch_maturity":1.0,"sample":1.0,"signal":1.0,"stability":0.91},"level":"MEDIUM","method":"deterministic_evidence_score","score":0.78},"current_value":3,"dependencies":[{"condition":null,"dependency_type":"KNOB","ref_id":"warehouse_size"},{"condition":null,"dependency_type":"KNOB","ref_id":"max_clusters"}],"execution_state":"PENDING_REEVALUATION","invalidates":["auto_stop_minutes"],"knob":"min_clusters","projected_economics":{"pricing_basis":"CONTINGENT_PENDING_REEVALUATION","running_savings_365d":{"aws":{"base":14219.04,"high":18646.52,"low":8514.39},"dbu":{"base":15028.97,"high":35685.52,"low":-11586.21},"total":{"base":29248.01,"high":54332.04,"low":-3071.82}}},"recommended_value":2,"step":3,"step_type":"CANDIDATE","technique_id":"WH-MIN-CLUSTER-REDUCE-001","validation":{"action_after":null,"remeasure_days":null,"success_metrics":["p95_execution_ms","p99_execution_ms","failure_rate","queue_wait","dbu_cost","aws_cost"],"validation_type":"A_B_CANARY"}},{"action":null,"candidate_id":"CAND-028FA513EA788FFB1FAADF4E","confidence":{"components":{"coverage":1.0,"epoch_maturity":1.0,"sample":1.0,"signal":1.0,"stability":0.91},"level":"HIGH","method":"deterministic_evidence_score","score":0.93},"current_value":120,"dependencies":[{"condition":null,"dependency_type":"KNOB","ref_id":"min_clusters"}],"execution_state":"PENDING_REEVALUATION","invalidates":[],"knob":"auto_stop_minutes","projected_economics":{"pricing_basis":"CONTINGENT_PENDING_REEVALUATION","running_savings_365d":{"aws":{"base":15975.13,"high":20987.98,"low":9685.12},"dbu":{"base":23222.07,"high":46609.66,"low":-6124.14},"total":{"base":39197.2,"high":67597.64,"low":3560.98}}},"recommended_value":45,"step":4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5,"step_type":"REMEASURE","technique_id":null,"validation":{"action_after":"REGENERATE_RECOMMENDATIONS","remeasure_days":7,"success_metrics":[],"validation_type":"REMEASURE"}}]</t>
        </is>
      </c>
      <c r="AQ9" s="22" t="inlineStr">
        <is>
          <t>["CAND-C86EF28A42FC56DB5AD00959","CAND-0B0E829222AD5BA2CA4E7612","CAND-E2B81BBFEB2D221645C6CC57","CAND-028FA513EA788FFB1FAADF4E"]</t>
        </is>
      </c>
      <c r="AR9" s="22" t="inlineStr">
        <is>
          <t>[{"condition":null,"dependency_type":"KNOB","ref_id":"warehouse_channel"},{"condition":null,"dependency_type":"KNOB","ref_id":"warehouse_size"},{"condition":null,"dependency_type":"KNOB","ref_id":"warehouse_size"},{"condition":null,"dependency_type":"KNOB","ref_id":"max_clusters"},{"condition":null,"dependency_type":"KNOB","ref_id":"min_clusters"}]</t>
        </is>
      </c>
      <c r="AS9" s="22" t="inlineStr">
        <is>
          <t>["auto_stop_minutes","max_clusters","min_clusters"]</t>
        </is>
      </c>
    </row>
    <row r="10" ht="24" customHeight="1">
      <c r="A10" s="14" t="inlineStr">
        <is>
          <t>PKG-C269EAEEE79C014B6AC9A50D</t>
        </is>
      </c>
      <c r="B10" s="14" t="inlineStr">
        <is>
          <t>SCN-68F9545F52E814CE6E2CDC73</t>
        </is>
      </c>
      <c r="C10" s="14" t="inlineStr">
        <is>
          <t>1234567890123456</t>
        </is>
      </c>
      <c r="D10" s="14" t="inlineStr">
        <is>
          <t>wh-synth-006</t>
        </is>
      </c>
      <c r="E10" s="15" t="inlineStr">
        <is>
          <t>Executive Dashboards</t>
        </is>
      </c>
      <c r="F10" s="16" t="inlineStr">
        <is>
          <t>exec-analytics@databricks.example</t>
        </is>
      </c>
      <c r="G10" s="15" t="inlineStr">
        <is>
          <t>Plan B — Serverless migration experiment</t>
        </is>
      </c>
      <c r="H10" s="16" t="inlineStr">
        <is>
          <t>WAREHOUSE_TYPE_MIGRATION</t>
        </is>
      </c>
      <c r="I10" s="18" t="inlineStr">
        <is>
          <t>ALTERNATIVE</t>
        </is>
      </c>
      <c r="J10" s="18" t="b">
        <v>0</v>
      </c>
      <c r="K10" s="21" t="n">
        <v>0.78</v>
      </c>
      <c r="L10" s="18" t="inlineStr">
        <is>
          <t>MEDIUM</t>
        </is>
      </c>
      <c r="M10" s="16" t="inlineStr">
        <is>
          <t>minimum_step_confidence</t>
        </is>
      </c>
      <c r="N10" s="18" t="inlineStr">
        <is>
          <t>REQUIRES_VALIDATION</t>
        </is>
      </c>
      <c r="O10" s="16" t="inlineStr">
        <is>
          <t>B_READ_ONLY_API</t>
        </is>
      </c>
      <c r="P10" s="16" t="inlineStr">
        <is>
          <t>USD</t>
        </is>
      </c>
      <c r="Q10" s="18" t="inlineStr">
        <is>
          <t>SAVINGS</t>
        </is>
      </c>
      <c r="R10" s="19" t="n">
        <v>48000</v>
      </c>
      <c r="S10" s="19" t="n">
        <v>21285.98</v>
      </c>
      <c r="T10" s="19" t="n">
        <v>69285.98</v>
      </c>
      <c r="U10" s="19" t="n">
        <v>242.99</v>
      </c>
      <c r="V10" s="19" t="n">
        <v>242.99</v>
      </c>
      <c r="W10" s="19" t="n">
        <v>32081</v>
      </c>
      <c r="X10" s="19" t="n">
        <v>21285.98</v>
      </c>
      <c r="Y10" s="19" t="n">
        <v>21285.98</v>
      </c>
      <c r="Z10" s="19" t="n">
        <v>21285.98</v>
      </c>
      <c r="AA10" s="19" t="n">
        <v>21528.97</v>
      </c>
      <c r="AB10" s="19" t="n">
        <v>21528.97</v>
      </c>
      <c r="AC10" s="19" t="n">
        <v>53366.98</v>
      </c>
      <c r="AD10" s="19" t="n">
        <v>15919</v>
      </c>
      <c r="AE10" s="19" t="n">
        <v>47757.01</v>
      </c>
      <c r="AF10" s="19" t="n">
        <v>47757.01</v>
      </c>
      <c r="AG10" s="16" t="inlineStr">
        <is>
          <t>PRE_CANARY_MODELED_RANGE</t>
        </is>
      </c>
      <c r="AH10" s="19" t="inlineStr">
        <is>
          <t>UNAVAILABLE</t>
        </is>
      </c>
      <c r="AI10" s="19" t="inlineStr">
        <is>
          <t>UNAVAILABLE</t>
        </is>
      </c>
      <c r="AJ10" s="19" t="inlineStr">
        <is>
          <t>UNAVAILABLE</t>
        </is>
      </c>
      <c r="AK10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10" s="18" t="b">
        <v>1</v>
      </c>
      <c r="AM10" s="17" t="n">
        <v>7</v>
      </c>
      <c r="AN10" s="22" t="inlineStr">
        <is>
          <t>[{"check":"aws_region_serverless_availability","details":"{\"policy\":\"Databricks documents Serverless SQL warehouse support across AWS regions.\",\"region\":\"us-east-1\"}","evidence_refs":["EVID-441757A3E1AFD5C28DD3B5A6"],"requires_hitl":false,"status":"PASS"},{"check":"workspace_serverless_observed","details":"true","evidence_refs":["EVID-35340FC00083C675D1843DD6"],"requires_hitl":false,"status":"PASS"},{"check":"workspace_serverless_enablement","details":"true","evidence_refs":["EVID-972F35B29D44CBCD58534B38"],"requires_hitl":false,"status":"PASS"},{"check":"external_legacy_hive_metastore_workspace_setting","details":"{\"config_keys\":[],\"detected\":false}","evidence_refs":["EVID-E845955777C16A5CC8D7B84C"],"requires_hitl":false,"status":"PASS"},{"check":"s3_access_policy_compatibility","details":"\"UNKNOWN\"","evidence_refs":["EVID-F716D2784AE7839470A5204E"],"requires_hitl":true,"status":"UNKNOWN"},{"check":"legacy_hive_metastore_sql_reference","details":"{\"reference_queries\":0,\"visible_pct\":100.0}","evidence_refs":["EVID-DC8E2B483D3DE477A9E63AD2"],"requires_hitl":true,"status":"UNKNOWN"}]</t>
        </is>
      </c>
      <c r="AO10" s="22" t="inlineStr">
        <is>
          <t>[{"check":"s3_access_policy_compatibility","details":"\"UNKNOWN\"","evidence_refs":["EVID-F716D2784AE7839470A5204E"],"requires_hitl":true,"status":"UNKNOWN"},{"check":"legacy_hive_metastore_sql_reference","details":"{\"reference_queries\":0,\"visible_pct\":100.0}","evidence_refs":["EVID-DC8E2B483D3DE477A9E63AD2"],"requires_hitl":true,"status":"UNKNOWN"}]</t>
        </is>
      </c>
      <c r="AP10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B994ABE33118C0EA458EFC1D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21285.98,"high":21285.98,"low":21285.98},"dbu":{"base":242.99,"high":32081.0,"low":242.99},"total":{"base":21528.97,"high":53366.98,"low":21528.97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10" s="22" t="inlineStr">
        <is>
          <t>["CAND-B994ABE33118C0EA458EFC1D"]</t>
        </is>
      </c>
      <c r="AR10" s="22" t="inlineStr">
        <is>
          <t>[]</t>
        </is>
      </c>
      <c r="AS10" s="22" t="inlineStr">
        <is>
          <t>["auto_stop_minutes","max_clusters","min_clusters","warehouse_size"]</t>
        </is>
      </c>
    </row>
    <row r="11" ht="24" customHeight="1">
      <c r="A11" s="14" t="inlineStr">
        <is>
          <t>PKG-CC33BDB742BBCA3EB867C0A2</t>
        </is>
      </c>
      <c r="B11" s="14" t="inlineStr">
        <is>
          <t>SCN-CC786000B1366D95D0796012</t>
        </is>
      </c>
      <c r="C11" s="14" t="inlineStr">
        <is>
          <t>1234567890123456</t>
        </is>
      </c>
      <c r="D11" s="14" t="inlineStr">
        <is>
          <t>wh-synth-005</t>
        </is>
      </c>
      <c r="E11" s="15" t="inlineStr">
        <is>
          <t>Finance Concurrency</t>
        </is>
      </c>
      <c r="F11" s="16" t="inlineStr">
        <is>
          <t>finance-platform@databricks.example</t>
        </is>
      </c>
      <c r="G11" s="15" t="inlineStr">
        <is>
          <t>Plan A — Optimize current warehouse type</t>
        </is>
      </c>
      <c r="H11" s="16" t="inlineStr">
        <is>
          <t>IN_PLACE_OPTIMIZATION</t>
        </is>
      </c>
      <c r="I11" s="18" t="inlineStr">
        <is>
          <t>RECOMMENDED</t>
        </is>
      </c>
      <c r="J11" s="18" t="b">
        <v>1</v>
      </c>
      <c r="K11" s="21" t="n">
        <v>0.93</v>
      </c>
      <c r="L11" s="18" t="inlineStr">
        <is>
          <t>HIGH</t>
        </is>
      </c>
      <c r="M11" s="16" t="inlineStr">
        <is>
          <t>minimum_step_confidence</t>
        </is>
      </c>
      <c r="N11" s="18" t="inlineStr">
        <is>
          <t>COMPATIBLE</t>
        </is>
      </c>
      <c r="O11" s="16" t="inlineStr">
        <is>
          <t>SYSTEM_TABLE_ONLY</t>
        </is>
      </c>
      <c r="P11" s="16" t="inlineStr">
        <is>
          <t>USD</t>
        </is>
      </c>
      <c r="Q11" s="18" t="inlineStr">
        <is>
          <t>COST_INCREASE</t>
        </is>
      </c>
      <c r="R11" s="19" t="n">
        <v>36000</v>
      </c>
      <c r="S11" s="19" t="n">
        <v>5380.16</v>
      </c>
      <c r="T11" s="19" t="n">
        <v>41380.16</v>
      </c>
      <c r="U11" s="19" t="n">
        <v>-10800</v>
      </c>
      <c r="V11" s="19" t="n">
        <v>-5400</v>
      </c>
      <c r="W11" s="19" t="n">
        <v>0</v>
      </c>
      <c r="X11" s="19" t="n">
        <v>-1614.05</v>
      </c>
      <c r="Y11" s="19" t="n">
        <v>-807.02</v>
      </c>
      <c r="Z11" s="19" t="n">
        <v>0</v>
      </c>
      <c r="AA11" s="19" t="n">
        <v>-12414.05</v>
      </c>
      <c r="AB11" s="19" t="n">
        <v>-6207.02</v>
      </c>
      <c r="AC11" s="19" t="n">
        <v>0</v>
      </c>
      <c r="AD11" s="19" t="n">
        <v>41380.16</v>
      </c>
      <c r="AE11" s="19" t="n">
        <v>47587.18</v>
      </c>
      <c r="AF11" s="19" t="n">
        <v>53794.21</v>
      </c>
      <c r="AG11" s="16" t="inlineStr">
        <is>
          <t>MODELED_RANGE</t>
        </is>
      </c>
      <c r="AH11" s="19" t="inlineStr">
        <is>
          <t>UNAVAILABLE</t>
        </is>
      </c>
      <c r="AI11" s="19" t="inlineStr">
        <is>
          <t>UNAVAILABLE</t>
        </is>
      </c>
      <c r="AJ11" s="19" t="inlineStr">
        <is>
          <t>UNAVAILABLE</t>
        </is>
      </c>
      <c r="AK11" s="16" t="inlineStr">
        <is>
          <t>Plan A — Optimize current warehouse type | 1. max_clusters 2→3 [READY]; priced AUTHORITATIVE | 2. REMEASURE_AND_REGENERATE [REQUIRED]; remeasure 7d</t>
        </is>
      </c>
      <c r="AL11" s="18" t="b">
        <v>1</v>
      </c>
      <c r="AM11" s="17" t="n">
        <v>7</v>
      </c>
      <c r="AN11" s="22" t="inlineStr">
        <is>
          <t>[]</t>
        </is>
      </c>
      <c r="AO11" s="22" t="inlineStr">
        <is>
          <t>[]</t>
        </is>
      </c>
      <c r="AP11" s="22" t="inlineStr">
        <is>
          <t>[{"action":null,"candidate_id":"CAND-80AFEAAC17B90B6740091CD3","confidence":{"components":{"coverage":1.0,"epoch_maturity":1.0,"sample":1.0,"signal":1.0,"stability":0.91},"level":"HIGH","method":"deterministic_evidence_score","score":0.93},"current_value":2,"dependencies":[{"condition":null,"dependency_type":"KNOB","ref_id":"warehouse_size"}],"execution_state":"READY","invalidates":["min_clusters"],"knob":"max_clusters","projected_economics":{"pricing_basis":"AUTHORITATIVE","running_savings_365d":{"aws":{"base":-807.02,"high":0.0,"low":-1614.05},"dbu":{"base":-5400.0,"high":0.0,"low":-10800.0},"total":{"base":-6207.02,"high":0.0,"low":-12414.05}}},"recommended_value":3,"step":1,"step_type":"CANDIDATE","technique_id":"WH-MAX-CLUSTER-INCREASE-001","validation":{"action_after":null,"remeasure_days":null,"success_metrics":[],"validation_type":"NONE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2,"step_type":"REMEASURE","technique_id":null,"validation":{"action_after":"REGENERATE_RECOMMENDATIONS","remeasure_days":7,"success_metrics":[],"validation_type":"REMEASURE"}}]</t>
        </is>
      </c>
      <c r="AQ11" s="22" t="inlineStr">
        <is>
          <t>["CAND-80AFEAAC17B90B6740091CD3"]</t>
        </is>
      </c>
      <c r="AR11" s="22" t="inlineStr">
        <is>
          <t>[{"condition":null,"dependency_type":"KNOB","ref_id":"warehouse_size"}]</t>
        </is>
      </c>
      <c r="AS11" s="22" t="inlineStr">
        <is>
          <t>["min_clusters"]</t>
        </is>
      </c>
    </row>
    <row r="12" ht="24" customHeight="1">
      <c r="A12" s="14" t="inlineStr">
        <is>
          <t>PKG-CC33BDB742BBCA3EB867C0A2</t>
        </is>
      </c>
      <c r="B12" s="14" t="inlineStr">
        <is>
          <t>SCN-AE1383D5FC2C30D7B1E8A625</t>
        </is>
      </c>
      <c r="C12" s="14" t="inlineStr">
        <is>
          <t>1234567890123456</t>
        </is>
      </c>
      <c r="D12" s="14" t="inlineStr">
        <is>
          <t>wh-synth-005</t>
        </is>
      </c>
      <c r="E12" s="15" t="inlineStr">
        <is>
          <t>Finance Concurrency</t>
        </is>
      </c>
      <c r="F12" s="16" t="inlineStr">
        <is>
          <t>finance-platform@databricks.example</t>
        </is>
      </c>
      <c r="G12" s="15" t="inlineStr">
        <is>
          <t>Plan B — Serverless migration experiment</t>
        </is>
      </c>
      <c r="H12" s="16" t="inlineStr">
        <is>
          <t>WAREHOUSE_TYPE_MIGRATION</t>
        </is>
      </c>
      <c r="I12" s="18" t="inlineStr">
        <is>
          <t>ALTERNATIVE</t>
        </is>
      </c>
      <c r="J12" s="18" t="b">
        <v>0</v>
      </c>
      <c r="K12" s="21" t="n">
        <v>0.78</v>
      </c>
      <c r="L12" s="18" t="inlineStr">
        <is>
          <t>MEDIUM</t>
        </is>
      </c>
      <c r="M12" s="16" t="inlineStr">
        <is>
          <t>minimum_step_confidence</t>
        </is>
      </c>
      <c r="N12" s="18" t="inlineStr">
        <is>
          <t>REQUIRES_VALIDATION</t>
        </is>
      </c>
      <c r="O12" s="16" t="inlineStr">
        <is>
          <t>B_READ_ONLY_API</t>
        </is>
      </c>
      <c r="P12" s="16" t="inlineStr">
        <is>
          <t>USD</t>
        </is>
      </c>
      <c r="Q12" s="18" t="inlineStr">
        <is>
          <t>SAVINGS</t>
        </is>
      </c>
      <c r="R12" s="19" t="n">
        <v>36000</v>
      </c>
      <c r="S12" s="19" t="n">
        <v>5380.16</v>
      </c>
      <c r="T12" s="19" t="n">
        <v>41380.16</v>
      </c>
      <c r="U12" s="19" t="n">
        <v>19905.51</v>
      </c>
      <c r="V12" s="19" t="n">
        <v>23929.13</v>
      </c>
      <c r="W12" s="19" t="n">
        <v>27952.76</v>
      </c>
      <c r="X12" s="19" t="n">
        <v>5380.16</v>
      </c>
      <c r="Y12" s="19" t="n">
        <v>5380.16</v>
      </c>
      <c r="Z12" s="19" t="n">
        <v>5380.16</v>
      </c>
      <c r="AA12" s="19" t="n">
        <v>25285.67</v>
      </c>
      <c r="AB12" s="19" t="n">
        <v>29309.29</v>
      </c>
      <c r="AC12" s="19" t="n">
        <v>33332.92</v>
      </c>
      <c r="AD12" s="19" t="n">
        <v>8047.24</v>
      </c>
      <c r="AE12" s="19" t="n">
        <v>12070.87</v>
      </c>
      <c r="AF12" s="19" t="n">
        <v>16094.49</v>
      </c>
      <c r="AG12" s="16" t="inlineStr">
        <is>
          <t>PRE_CANARY_MODELED_RANGE</t>
        </is>
      </c>
      <c r="AH12" s="19" t="inlineStr">
        <is>
          <t>UNAVAILABLE</t>
        </is>
      </c>
      <c r="AI12" s="19" t="inlineStr">
        <is>
          <t>UNAVAILABLE</t>
        </is>
      </c>
      <c r="AJ12" s="19" t="inlineStr">
        <is>
          <t>UNAVAILABLE</t>
        </is>
      </c>
      <c r="AK12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12" s="18" t="b">
        <v>1</v>
      </c>
      <c r="AM12" s="17" t="n">
        <v>7</v>
      </c>
      <c r="AN12" s="22" t="inlineStr">
        <is>
          <t>[{"check":"aws_region_serverless_availability","details":"{\"policy\":\"Databricks documents Serverless SQL warehouse support across AWS regions.\",\"region\":\"us-east-1\"}","evidence_refs":["EVID-176A781FEEBE5770F9DAEF37"],"requires_hitl":false,"status":"PASS"},{"check":"workspace_serverless_observed","details":"true","evidence_refs":["EVID-9A22CE6B242B310D6790D2A6"],"requires_hitl":false,"status":"PASS"},{"check":"workspace_serverless_enablement","details":"true","evidence_refs":["EVID-F20E29ECD3DB17388D13ADC7"],"requires_hitl":false,"status":"PASS"},{"check":"external_legacy_hive_metastore_workspace_setting","details":"{\"config_keys\":[],\"detected\":false}","evidence_refs":["EVID-8179BFDB090DED8598025B95"],"requires_hitl":false,"status":"PASS"},{"check":"s3_access_policy_compatibility","details":"\"UNKNOWN\"","evidence_refs":["EVID-32195F4EE7C22EE0A76A24DF"],"requires_hitl":true,"status":"UNKNOWN"},{"check":"legacy_hive_metastore_sql_reference","details":"{\"reference_queries\":0,\"visible_pct\":100.0}","evidence_refs":["EVID-48F91F49DD6218451135C617"],"requires_hitl":true,"status":"UNKNOWN"}]</t>
        </is>
      </c>
      <c r="AO12" s="22" t="inlineStr">
        <is>
          <t>[{"check":"s3_access_policy_compatibility","details":"\"UNKNOWN\"","evidence_refs":["EVID-32195F4EE7C22EE0A76A24DF"],"requires_hitl":true,"status":"UNKNOWN"},{"check":"legacy_hive_metastore_sql_reference","details":"{\"reference_queries\":0,\"visible_pct\":100.0}","evidence_refs":["EVID-48F91F49DD6218451135C617"],"requires_hitl":true,"status":"UNKNOWN"}]</t>
        </is>
      </c>
      <c r="AP12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-02A4A2C622C961DA8C1E29A5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5380.16,"high":5380.16,"low":5380.16},"dbu":{"base":23929.13,"high":27952.76,"low":19905.51},"total":{"base":29309.29,"high":33332.92,"low":25285.67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12" s="22" t="inlineStr">
        <is>
          <t>["CAND-02A4A2C622C961DA8C1E29A5"]</t>
        </is>
      </c>
      <c r="AR12" s="22" t="inlineStr">
        <is>
          <t>[]</t>
        </is>
      </c>
      <c r="AS12" s="22" t="inlineStr">
        <is>
          <t>["auto_stop_minutes","max_clusters","min_clusters","warehouse_size"]</t>
        </is>
      </c>
    </row>
    <row r="13" ht="24" customHeight="1">
      <c r="A13" s="14" t="inlineStr">
        <is>
          <t>PKG-69BA220DC5EC020D84CA55CB</t>
        </is>
      </c>
      <c r="B13" s="14" t="inlineStr">
        <is>
          <t>SCN-1B656E36C1F436B2D31FEE71</t>
        </is>
      </c>
      <c r="C13" s="14" t="inlineStr">
        <is>
          <t>1234567890123456</t>
        </is>
      </c>
      <c r="D13" s="14" t="inlineStr">
        <is>
          <t>wh-synth-002</t>
        </is>
      </c>
      <c r="E13" s="15" t="inlineStr">
        <is>
          <t>Finance Executive</t>
        </is>
      </c>
      <c r="F13" s="16" t="inlineStr">
        <is>
          <t>finance-bi@databricks.example</t>
        </is>
      </c>
      <c r="G13" s="15" t="inlineStr">
        <is>
          <t>Plan A — Optimize current warehouse type</t>
        </is>
      </c>
      <c r="H13" s="16" t="inlineStr">
        <is>
          <t>IN_PLACE_OPTIMIZATION</t>
        </is>
      </c>
      <c r="I13" s="18" t="inlineStr">
        <is>
          <t>RECOMMENDED</t>
        </is>
      </c>
      <c r="J13" s="18" t="b">
        <v>1</v>
      </c>
      <c r="K13" s="21" t="n">
        <v>0.78</v>
      </c>
      <c r="L13" s="18" t="inlineStr">
        <is>
          <t>MEDIUM</t>
        </is>
      </c>
      <c r="M13" s="16" t="inlineStr">
        <is>
          <t>minimum_step_confidence</t>
        </is>
      </c>
      <c r="N13" s="18" t="inlineStr">
        <is>
          <t>COMPATIBLE</t>
        </is>
      </c>
      <c r="O13" s="16" t="inlineStr">
        <is>
          <t>SYSTEM_TABLE_ONLY</t>
        </is>
      </c>
      <c r="P13" s="16" t="inlineStr">
        <is>
          <t>USD</t>
        </is>
      </c>
      <c r="Q13" s="18" t="inlineStr">
        <is>
          <t>SAVINGS</t>
        </is>
      </c>
      <c r="R13" s="19" t="n">
        <v>18000</v>
      </c>
      <c r="S13" s="19" t="n">
        <v>5646.94</v>
      </c>
      <c r="T13" s="19" t="n">
        <v>23646.94</v>
      </c>
      <c r="U13" s="19" t="n">
        <v>-600</v>
      </c>
      <c r="V13" s="19" t="n">
        <v>2400</v>
      </c>
      <c r="W13" s="19" t="n">
        <v>4800</v>
      </c>
      <c r="X13" s="19" t="n">
        <v>1270.56</v>
      </c>
      <c r="Y13" s="19" t="n">
        <v>1976.43</v>
      </c>
      <c r="Z13" s="19" t="n">
        <v>2541.12</v>
      </c>
      <c r="AA13" s="19" t="n">
        <v>670.5599999999999</v>
      </c>
      <c r="AB13" s="19" t="n">
        <v>4376.43</v>
      </c>
      <c r="AC13" s="19" t="n">
        <v>7341.12</v>
      </c>
      <c r="AD13" s="19" t="n">
        <v>16305.82</v>
      </c>
      <c r="AE13" s="19" t="n">
        <v>19270.51</v>
      </c>
      <c r="AF13" s="19" t="n">
        <v>22976.38</v>
      </c>
      <c r="AG13" s="16" t="inlineStr">
        <is>
          <t>PROVISIONAL_MODELED_RANGE</t>
        </is>
      </c>
      <c r="AH13" s="19" t="n">
        <v>670.5599999999999</v>
      </c>
      <c r="AI13" s="19" t="n">
        <v>4376.43</v>
      </c>
      <c r="AJ13" s="19" t="n">
        <v>7341.12</v>
      </c>
      <c r="AK13" s="16" t="inlineStr">
        <is>
          <t>Plan A — Optimize current warehouse type | 1. warehouse_size MEDIUM→SMALL [READY_FOR_CANARY]; priced AUTHORITATIVE | 2. max_clusters 4→3 [PENDING_REEVALUATION]; priced CONTINGENT | 3. REMEASURE_AND_REGENERATE [REQUIRED]; remeasure 7d</t>
        </is>
      </c>
      <c r="AL13" s="18" t="b">
        <v>1</v>
      </c>
      <c r="AM13" s="17" t="n">
        <v>7</v>
      </c>
      <c r="AN13" s="22" t="inlineStr">
        <is>
          <t>[]</t>
        </is>
      </c>
      <c r="AO13" s="22" t="inlineStr">
        <is>
          <t>[]</t>
        </is>
      </c>
      <c r="AP13" s="22" t="inlineStr">
        <is>
          <t>[{"action":null,"candidate_id":"CAND-54F63D00E2EFC9427B7F8293","confidence":{"components":{"coverage":1.0,"epoch_maturity":1.0,"sample":1.0,"signal":1.0,"stability":0.91},"level":"MEDIUM","method":"deterministic_evidence_score","score":0.78},"current_value":"MEDIUM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1976.43,"high":2541.12,"low":1270.56},"dbu":{"base":2400.0,"high":4800.0,"low":-600.0},"total":{"base":4376.43,"high":7341.12,"low":670.56}}},"recommended_value":"SMALL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E0276ED21AF1CA6ABDA3685B","confidence":{"components":{"coverage":1.0,"epoch_maturity":1.0,"sample":1.0,"signal":1.0,"stability":0.91},"level":"HIGH","method":"deterministic_evidence_score","score":0.93},"current_value":4,"dependencies":[{"condition":null,"dependency_type":"KNOB","ref_id":"warehouse_size"}],"execution_state":"PENDING_REEVALUATION","invalidates":["min_clusters"],"knob":"max_clusters","projected_economics":{"pricing_basis":"CONTINGENT_PENDING_REEVALUATION","running_savings_365d":{"aws":{"base":1976.43,"high":2541.12,"low":1270.56},"dbu":{"base":2400.0,"high":4800.0,"low":-600.0},"total":{"base":4376.43,"high":7341.12,"low":670.56}}},"recommended_value":3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13" s="22" t="inlineStr">
        <is>
          <t>["CAND-54F63D00E2EFC9427B7F8293","CAND-E0276ED21AF1CA6ABDA3685B"]</t>
        </is>
      </c>
      <c r="AR13" s="22" t="inlineStr">
        <is>
          <t>[{"condition":null,"dependency_type":"KNOB","ref_id":"warehouse_channel"},{"condition":null,"dependency_type":"KNOB","ref_id":"warehouse_size"}]</t>
        </is>
      </c>
      <c r="AS13" s="22" t="inlineStr">
        <is>
          <t>["auto_stop_minutes","max_clusters","min_clusters"]</t>
        </is>
      </c>
    </row>
    <row r="14" ht="24" customHeight="1">
      <c r="A14" s="14" t="inlineStr">
        <is>
          <t>PKG-69BA220DC5EC020D84CA55CB</t>
        </is>
      </c>
      <c r="B14" s="14" t="inlineStr">
        <is>
          <t>SCN-562458A34AA20834D8E26D00</t>
        </is>
      </c>
      <c r="C14" s="14" t="inlineStr">
        <is>
          <t>1234567890123456</t>
        </is>
      </c>
      <c r="D14" s="14" t="inlineStr">
        <is>
          <t>wh-synth-002</t>
        </is>
      </c>
      <c r="E14" s="15" t="inlineStr">
        <is>
          <t>Finance Executive</t>
        </is>
      </c>
      <c r="F14" s="16" t="inlineStr">
        <is>
          <t>finance-bi@databricks.example</t>
        </is>
      </c>
      <c r="G14" s="15" t="inlineStr">
        <is>
          <t>Plan B — Serverless migration experiment</t>
        </is>
      </c>
      <c r="H14" s="16" t="inlineStr">
        <is>
          <t>WAREHOUSE_TYPE_MIGRATION</t>
        </is>
      </c>
      <c r="I14" s="18" t="inlineStr">
        <is>
          <t>ALTERNATIVE</t>
        </is>
      </c>
      <c r="J14" s="18" t="b">
        <v>0</v>
      </c>
      <c r="K14" s="21" t="n">
        <v>0.78</v>
      </c>
      <c r="L14" s="18" t="inlineStr">
        <is>
          <t>MEDIUM</t>
        </is>
      </c>
      <c r="M14" s="16" t="inlineStr">
        <is>
          <t>minimum_step_confidence</t>
        </is>
      </c>
      <c r="N14" s="18" t="inlineStr">
        <is>
          <t>REQUIRES_VALIDATION</t>
        </is>
      </c>
      <c r="O14" s="16" t="inlineStr">
        <is>
          <t>B_READ_ONLY_API</t>
        </is>
      </c>
      <c r="P14" s="16" t="inlineStr">
        <is>
          <t>USD</t>
        </is>
      </c>
      <c r="Q14" s="18" t="inlineStr">
        <is>
          <t>SAVINGS</t>
        </is>
      </c>
      <c r="R14" s="19" t="n">
        <v>18000</v>
      </c>
      <c r="S14" s="19" t="n">
        <v>5646.94</v>
      </c>
      <c r="T14" s="19" t="n">
        <v>23646.94</v>
      </c>
      <c r="U14" s="19" t="n">
        <v>1107.44</v>
      </c>
      <c r="V14" s="19" t="n">
        <v>5330.58</v>
      </c>
      <c r="W14" s="19" t="n">
        <v>9553.719999999999</v>
      </c>
      <c r="X14" s="19" t="n">
        <v>5646.94</v>
      </c>
      <c r="Y14" s="19" t="n">
        <v>5646.94</v>
      </c>
      <c r="Z14" s="19" t="n">
        <v>5646.94</v>
      </c>
      <c r="AA14" s="19" t="n">
        <v>6754.38</v>
      </c>
      <c r="AB14" s="19" t="n">
        <v>10977.52</v>
      </c>
      <c r="AC14" s="19" t="n">
        <v>15200.66</v>
      </c>
      <c r="AD14" s="19" t="n">
        <v>8446.280000000001</v>
      </c>
      <c r="AE14" s="19" t="n">
        <v>12669.42</v>
      </c>
      <c r="AF14" s="19" t="n">
        <v>16892.56</v>
      </c>
      <c r="AG14" s="16" t="inlineStr">
        <is>
          <t>PRE_CANARY_MODELED_RANGE</t>
        </is>
      </c>
      <c r="AH14" s="19" t="inlineStr">
        <is>
          <t>UNAVAILABLE</t>
        </is>
      </c>
      <c r="AI14" s="19" t="inlineStr">
        <is>
          <t>UNAVAILABLE</t>
        </is>
      </c>
      <c r="AJ14" s="19" t="inlineStr">
        <is>
          <t>UNAVAILABLE</t>
        </is>
      </c>
      <c r="AK14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14" s="18" t="b">
        <v>1</v>
      </c>
      <c r="AM14" s="17" t="n">
        <v>7</v>
      </c>
      <c r="AN14" s="22" t="inlineStr">
        <is>
          <t>[{"check":"aws_region_serverless_availability","details":"{\"policy\":\"Databricks documents Serverless SQL warehouse support across AWS regions.\",\"region\":\"us-east-1\"}","evidence_refs":["EVID-2DD59C451FE966A9147AB2F2"],"requires_hitl":false,"status":"PASS"},{"check":"workspace_serverless_observed","details":"true","evidence_refs":["EVID-5CAA18B018EFF8F0DDE6F929"],"requires_hitl":false,"status":"PASS"},{"check":"workspace_serverless_enablement","details":"true","evidence_refs":["EVID-32A21389C39140EA33B86E25"],"requires_hitl":false,"status":"PASS"},{"check":"external_legacy_hive_metastore_workspace_setting","details":"{\"config_keys\":[],\"detected\":false}","evidence_refs":["EVID-B536175E2D40055600E398E5"],"requires_hitl":false,"status":"PASS"},{"check":"s3_access_policy_compatibility","details":"\"UNKNOWN\"","evidence_refs":["EVID-B22219BB82949C3249DE631C"],"requires_hitl":true,"status":"UNKNOWN"},{"check":"legacy_hive_metastore_sql_reference","details":"{\"reference_queries\":0,\"visible_pct\":100.0}","evidence_refs":["EVID-94793DBCDE4FA75AC3E4A69F"],"requires_hitl":true,"status":"UNKNOWN"}]</t>
        </is>
      </c>
      <c r="AO14" s="22" t="inlineStr">
        <is>
          <t>[{"check":"s3_access_policy_compatibility","details":"\"UNKNOWN\"","evidence_refs":["EVID-B22219BB82949C3249DE631C"],"requires_hitl":true,"status":"UNKNOWN"},{"check":"legacy_hive_metastore_sql_reference","details":"{\"reference_queries\":0,\"visible_pct\":100.0}","evidence_refs":["EVID-94793DBCDE4FA75AC3E4A69F"],"requires_hitl":true,"status":"UNKNOWN"}]</t>
        </is>
      </c>
      <c r="AP14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-6E8B69CCEE3CE8F4973519A4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5646.94,"high":5646.94,"low":5646.94},"dbu":{"base":5330.58,"high":9553.72,"low":1107.44},"total":{"base":10977.52,"high":15200.66,"low":6754.38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14" s="22" t="inlineStr">
        <is>
          <t>["CAND-6E8B69CCEE3CE8F4973519A4"]</t>
        </is>
      </c>
      <c r="AR14" s="22" t="inlineStr">
        <is>
          <t>[]</t>
        </is>
      </c>
      <c r="AS14" s="22" t="inlineStr">
        <is>
          <t>["auto_stop_minutes","max_clusters","min_clusters","warehouse_size"]</t>
        </is>
      </c>
    </row>
    <row r="15" ht="24" customHeight="1">
      <c r="A15" s="14" t="inlineStr">
        <is>
          <t>PKG-1B297C98438DC42F237017DA</t>
        </is>
      </c>
      <c r="B15" s="14" t="inlineStr">
        <is>
          <t>SCN-D7CBE49F5C50DE0E816A9CD2</t>
        </is>
      </c>
      <c r="C15" s="14" t="inlineStr">
        <is>
          <t>1234567890123456</t>
        </is>
      </c>
      <c r="D15" s="14" t="inlineStr">
        <is>
          <t>wh-synth-003</t>
        </is>
      </c>
      <c r="E15" s="15" t="inlineStr">
        <is>
          <t>Marketing Ad Hoc</t>
        </is>
      </c>
      <c r="F15" s="16" t="inlineStr">
        <is>
          <t>marketing-analytics@databricks.example</t>
        </is>
      </c>
      <c r="G15" s="15" t="inlineStr">
        <is>
          <t>Plan A — Optimize current warehouse type</t>
        </is>
      </c>
      <c r="H15" s="16" t="inlineStr">
        <is>
          <t>IN_PLACE_OPTIMIZATION</t>
        </is>
      </c>
      <c r="I15" s="18" t="inlineStr">
        <is>
          <t>RECOMMENDED</t>
        </is>
      </c>
      <c r="J15" s="18" t="b">
        <v>1</v>
      </c>
      <c r="K15" s="21" t="n">
        <v>0.78</v>
      </c>
      <c r="L15" s="18" t="inlineStr">
        <is>
          <t>MEDIUM</t>
        </is>
      </c>
      <c r="M15" s="16" t="inlineStr">
        <is>
          <t>minimum_step_confidence</t>
        </is>
      </c>
      <c r="N15" s="18" t="inlineStr">
        <is>
          <t>COMPATIBLE</t>
        </is>
      </c>
      <c r="O15" s="16" t="inlineStr">
        <is>
          <t>SYSTEM_TABLE_ONLY</t>
        </is>
      </c>
      <c r="P15" s="16" t="inlineStr">
        <is>
          <t>USD</t>
        </is>
      </c>
      <c r="Q15" s="18" t="inlineStr">
        <is>
          <t>SAVINGS</t>
        </is>
      </c>
      <c r="R15" s="19" t="n">
        <v>14500</v>
      </c>
      <c r="S15" s="19" t="n">
        <v>6659.65</v>
      </c>
      <c r="T15" s="19" t="n">
        <v>21159.65</v>
      </c>
      <c r="U15" s="19" t="n">
        <v>-3500</v>
      </c>
      <c r="V15" s="19" t="n">
        <v>1900</v>
      </c>
      <c r="W15" s="19" t="n">
        <v>5500</v>
      </c>
      <c r="X15" s="19" t="n">
        <v>2663.86</v>
      </c>
      <c r="Y15" s="19" t="n">
        <v>3862.6</v>
      </c>
      <c r="Z15" s="19" t="n">
        <v>4661.76</v>
      </c>
      <c r="AA15" s="19" t="n">
        <v>-836.14</v>
      </c>
      <c r="AB15" s="19" t="n">
        <v>5762.6</v>
      </c>
      <c r="AC15" s="19" t="n">
        <v>10161.76</v>
      </c>
      <c r="AD15" s="19" t="n">
        <v>10997.89</v>
      </c>
      <c r="AE15" s="19" t="n">
        <v>15397.05</v>
      </c>
      <c r="AF15" s="19" t="n">
        <v>21995.79</v>
      </c>
      <c r="AG15" s="16" t="inlineStr">
        <is>
          <t>PROVISIONAL_MODELED_RANGE</t>
        </is>
      </c>
      <c r="AH15" s="19" t="n">
        <v>4728.79</v>
      </c>
      <c r="AI15" s="19" t="n">
        <v>14110</v>
      </c>
      <c r="AJ15" s="19" t="n">
        <v>21159.65</v>
      </c>
      <c r="AK15" s="16" t="inlineStr">
        <is>
          <t>Plan A — Optimize current warehouse type | 1. warehouse_size LARGE→MEDIUM [READY_FOR_CANARY]; priced AUTHORITATIVE | 2. max_clusters 3→2 [PENDING_REEVALUATION]; priced CONTINGENT | 3. auto_stop_minutes 120→15 [PENDING_REEVALUATION]; priced CONTINGENT | 4. REMEASURE_AND_REGENERATE [REQUIRED]; remeasure 7d</t>
        </is>
      </c>
      <c r="AL15" s="18" t="b">
        <v>1</v>
      </c>
      <c r="AM15" s="17" t="n">
        <v>7</v>
      </c>
      <c r="AN15" s="22" t="inlineStr">
        <is>
          <t>[]</t>
        </is>
      </c>
      <c r="AO15" s="22" t="inlineStr">
        <is>
          <t>[]</t>
        </is>
      </c>
      <c r="AP15" s="22" t="inlineStr">
        <is>
          <t>[{"action":null,"candidate_id":"CAND-F878D946224283BA589FD98A","confidence":{"components":{"coverage":1.0,"epoch_maturity":1.0,"sample":1.0,"signal":1.0,"stability":0.91},"level":"MEDIUM","method":"deterministic_evidence_score","score":0.78},"current_value":"LARGE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3862.6,"high":4661.76,"low":2663.86},"dbu":{"base":1900.0,"high":5500.0,"low":-3500.0},"total":{"base":5762.6,"high":10161.76,"low":-836.14}}},"recommended_value":"MEDIUM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-8931F3BE78641A385D65130D","confidence":{"components":{"coverage":1.0,"epoch_maturity":1.0,"sample":1.0,"signal":1.0,"stability":0.91},"level":"HIGH","method":"deterministic_evidence_score","score":0.93},"current_value":3,"dependencies":[{"condition":null,"dependency_type":"KNOB","ref_id":"warehouse_size"}],"execution_state":"PENDING_REEVALUATION","invalidates":["min_clusters"],"knob":"max_clusters","projected_economics":{"pricing_basis":"CONTINGENT_PENDING_REEVALUATION","running_savings_365d":{"aws":{"base":3862.6,"high":4661.76,"low":2663.86},"dbu":{"base":1900.0,"high":5500.0,"low":-3500.0},"total":{"base":5762.6,"high":10161.76,"low":-836.14}}},"recommended_value":2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null,"candidate_id":"CAND-2B65CE34434D627E7C4E7D0B","confidence":{"components":{"coverage":1.0,"epoch_maturity":1.0,"sample":1.0,"signal":1.0,"stability":0.91},"level":"HIGH","method":"deterministic_evidence_score","score":0.93},"current_value":120,"dependencies":[{"condition":null,"dependency_type":"KNOB","ref_id":"min_clusters"}],"execution_state":"PENDING_REEVALUATION","invalidates":[],"knob":"auto_stop_minutes","projected_economics":{"pricing_basis":"CONTINGENT_PENDING_REEVALUATION","running_savings_365d":{"aws":{"base":5379.0,"high":6659.65,"low":3674.79},"dbu":{"base":8731.0,"high":14500.0,"low":1054.0},"total":{"base":14110.0,"high":21159.65,"low":4728.79}}},"recommended_value":15,"step":3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4,"step_type":"REMEASURE","technique_id":null,"validation":{"action_after":"REGENERATE_RECOMMENDATIONS","remeasure_days":7,"success_metrics":[],"validation_type":"REMEASURE"}}]</t>
        </is>
      </c>
      <c r="AQ15" s="22" t="inlineStr">
        <is>
          <t>["CAND-F878D946224283BA589FD98A","CAND-8931F3BE78641A385D65130D","CAND-2B65CE34434D627E7C4E7D0B"]</t>
        </is>
      </c>
      <c r="AR15" s="22" t="inlineStr">
        <is>
          <t>[{"condition":null,"dependency_type":"KNOB","ref_id":"warehouse_channel"},{"condition":null,"dependency_type":"KNOB","ref_id":"warehouse_size"},{"condition":null,"dependency_type":"KNOB","ref_id":"min_clusters"}]</t>
        </is>
      </c>
      <c r="AS15" s="22" t="inlineStr">
        <is>
          <t>["auto_stop_minutes","max_clusters","min_clusters"]</t>
        </is>
      </c>
    </row>
    <row r="16" ht="24" customHeight="1">
      <c r="A16" s="14" t="inlineStr">
        <is>
          <t>PKG-1B297C98438DC42F237017DA</t>
        </is>
      </c>
      <c r="B16" s="14" t="inlineStr">
        <is>
          <t>SCN-509F0B84125F5B7EFD41B34F</t>
        </is>
      </c>
      <c r="C16" s="14" t="inlineStr">
        <is>
          <t>1234567890123456</t>
        </is>
      </c>
      <c r="D16" s="14" t="inlineStr">
        <is>
          <t>wh-synth-003</t>
        </is>
      </c>
      <c r="E16" s="15" t="inlineStr">
        <is>
          <t>Marketing Ad Hoc</t>
        </is>
      </c>
      <c r="F16" s="16" t="inlineStr">
        <is>
          <t>marketing-analytics@databricks.example</t>
        </is>
      </c>
      <c r="G16" s="15" t="inlineStr">
        <is>
          <t>Plan B — Serverless migration experiment</t>
        </is>
      </c>
      <c r="H16" s="16" t="inlineStr">
        <is>
          <t>WAREHOUSE_TYPE_MIGRATION</t>
        </is>
      </c>
      <c r="I16" s="18" t="inlineStr">
        <is>
          <t>ALTERNATIVE</t>
        </is>
      </c>
      <c r="J16" s="18" t="b">
        <v>0</v>
      </c>
      <c r="K16" s="21" t="n">
        <v>0.78</v>
      </c>
      <c r="L16" s="18" t="inlineStr">
        <is>
          <t>MEDIUM</t>
        </is>
      </c>
      <c r="M16" s="16" t="inlineStr">
        <is>
          <t>minimum_step_confidence</t>
        </is>
      </c>
      <c r="N16" s="18" t="inlineStr">
        <is>
          <t>REQUIRES_VALIDATION</t>
        </is>
      </c>
      <c r="O16" s="16" t="inlineStr">
        <is>
          <t>B_READ_ONLY_API</t>
        </is>
      </c>
      <c r="P16" s="16" t="inlineStr">
        <is>
          <t>USD</t>
        </is>
      </c>
      <c r="Q16" s="18" t="inlineStr">
        <is>
          <t>SAVINGS</t>
        </is>
      </c>
      <c r="R16" s="19" t="n">
        <v>14500</v>
      </c>
      <c r="S16" s="19" t="n">
        <v>6659.65</v>
      </c>
      <c r="T16" s="19" t="n">
        <v>21159.65</v>
      </c>
      <c r="U16" s="19" t="n">
        <v>-441.52</v>
      </c>
      <c r="V16" s="19" t="n">
        <v>-441.52</v>
      </c>
      <c r="W16" s="19" t="n">
        <v>-441.52</v>
      </c>
      <c r="X16" s="19" t="n">
        <v>6659.65</v>
      </c>
      <c r="Y16" s="19" t="n">
        <v>6659.65</v>
      </c>
      <c r="Z16" s="19" t="n">
        <v>6659.65</v>
      </c>
      <c r="AA16" s="19" t="n">
        <v>6218.13</v>
      </c>
      <c r="AB16" s="19" t="n">
        <v>6218.13</v>
      </c>
      <c r="AC16" s="19" t="n">
        <v>6218.13</v>
      </c>
      <c r="AD16" s="19" t="n">
        <v>14941.52</v>
      </c>
      <c r="AE16" s="19" t="n">
        <v>14941.52</v>
      </c>
      <c r="AF16" s="19" t="n">
        <v>14941.52</v>
      </c>
      <c r="AG16" s="16" t="inlineStr">
        <is>
          <t>PRE_CANARY_MODELED_RANGE</t>
        </is>
      </c>
      <c r="AH16" s="19" t="inlineStr">
        <is>
          <t>UNAVAILABLE</t>
        </is>
      </c>
      <c r="AI16" s="19" t="inlineStr">
        <is>
          <t>UNAVAILABLE</t>
        </is>
      </c>
      <c r="AJ16" s="19" t="inlineStr">
        <is>
          <t>UNAVAILABLE</t>
        </is>
      </c>
      <c r="AK16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16" s="18" t="b">
        <v>1</v>
      </c>
      <c r="AM16" s="17" t="n">
        <v>7</v>
      </c>
      <c r="AN16" s="22" t="inlineStr">
        <is>
          <t>[{"check":"aws_region_serverless_availability","details":"{\"policy\":\"Databricks documents Serverless SQL warehouse support across AWS regions.\",\"region\":\"us-east-1\"}","evidence_refs":["EVID-C57BD8997AEF9DA09175FE80"],"requires_hitl":false,"status":"PASS"},{"check":"workspace_serverless_observed","details":"true","evidence_refs":["EVID-34D2BE323D88FEFBD52BC157"],"requires_hitl":false,"status":"PASS"},{"check":"workspace_serverless_enablement","details":"true","evidence_refs":["EVID-E42C4D645EC2B254E217C4BD"],"requires_hitl":false,"status":"PASS"},{"check":"external_legacy_hive_metastore_workspace_setting","details":"{\"config_keys\":[],\"detected\":false}","evidence_refs":["EVID-3169F24E668515676CDAEC06"],"requires_hitl":false,"status":"PASS"},{"check":"s3_access_policy_compatibility","details":"\"UNKNOWN\"","evidence_refs":["EVID-8AF8AB5698F5F3CBA88B0794"],"requires_hitl":true,"status":"UNKNOWN"},{"check":"legacy_hive_metastore_sql_reference","details":"{\"reference_queries\":0,\"visible_pct\":100.0}","evidence_refs":["EVID-A41BC0C2030EB101CE85B820"],"requires_hitl":true,"status":"UNKNOWN"}]</t>
        </is>
      </c>
      <c r="AO16" s="22" t="inlineStr">
        <is>
          <t>[{"check":"s3_access_policy_compatibility","details":"\"UNKNOWN\"","evidence_refs":["EVID-8AF8AB5698F5F3CBA88B0794"],"requires_hitl":true,"status":"UNKNOWN"},{"check":"legacy_hive_metastore_sql_reference","details":"{\"reference_queries\":0,\"visible_pct\":100.0}","evidence_refs":["EVID-A41BC0C2030EB101CE85B820"],"requires_hitl":true,"status":"UNKNOWN"}]</t>
        </is>
      </c>
      <c r="AP16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-5D8E6A15050D0BC21F82DB67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6659.65,"high":6659.65,"low":6659.65},"dbu":{"base":-441.52,"high":-441.52,"low":-441.52},"total":{"base":6218.13,"high":6218.13,"low":6218.13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16" s="22" t="inlineStr">
        <is>
          <t>["CAND-5D8E6A15050D0BC21F82DB67"]</t>
        </is>
      </c>
      <c r="AR16" s="22" t="inlineStr">
        <is>
          <t>[]</t>
        </is>
      </c>
      <c r="AS16" s="22" t="inlineStr">
        <is>
          <t>["auto_stop_minutes","max_clusters","min_clusters","warehouse_size"]</t>
        </is>
      </c>
    </row>
    <row r="17" ht="24" customHeight="1">
      <c r="A17" s="14" t="inlineStr">
        <is>
          <t>PKG-174715E982DCBFB8A89E70C3</t>
        </is>
      </c>
      <c r="B17" s="14" t="inlineStr">
        <is>
          <t>SCN-41BF7EE984C5C0ED6D4476A1</t>
        </is>
      </c>
      <c r="C17" s="14" t="inlineStr">
        <is>
          <t>1234567890123456</t>
        </is>
      </c>
      <c r="D17" s="14" t="inlineStr">
        <is>
          <t>wh-synth-007</t>
        </is>
      </c>
      <c r="E17" s="15" t="inlineStr">
        <is>
          <t>New Product Launch</t>
        </is>
      </c>
      <c r="F17" s="16" t="inlineStr">
        <is>
          <t>product-analytics@databricks.example</t>
        </is>
      </c>
      <c r="G17" s="15" t="inlineStr">
        <is>
          <t>Plan A — Optimize current warehouse type</t>
        </is>
      </c>
      <c r="H17" s="16" t="inlineStr">
        <is>
          <t>IN_PLACE_OPTIMIZATION</t>
        </is>
      </c>
      <c r="I17" s="18" t="inlineStr">
        <is>
          <t>RECOMMENDED</t>
        </is>
      </c>
      <c r="J17" s="18" t="b">
        <v>1</v>
      </c>
      <c r="K17" s="21" t="n">
        <v>1</v>
      </c>
      <c r="L17" s="18" t="inlineStr">
        <is>
          <t>HIGH</t>
        </is>
      </c>
      <c r="M17" s="16" t="inlineStr">
        <is>
          <t>minimum_step_confidence</t>
        </is>
      </c>
      <c r="N17" s="18" t="inlineStr">
        <is>
          <t>COMPATIBLE</t>
        </is>
      </c>
      <c r="O17" s="16" t="inlineStr">
        <is>
          <t>SYSTEM_TABLE_ONLY</t>
        </is>
      </c>
      <c r="P17" s="16" t="inlineStr">
        <is>
          <t>USD</t>
        </is>
      </c>
      <c r="Q17" s="18" t="inlineStr">
        <is>
          <t>NO_CHANGE</t>
        </is>
      </c>
      <c r="R17" s="19" t="n">
        <v>12000</v>
      </c>
      <c r="S17" s="19" t="n">
        <v>151840</v>
      </c>
      <c r="T17" s="19" t="n">
        <v>163840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163840</v>
      </c>
      <c r="AE17" s="19" t="n">
        <v>163840</v>
      </c>
      <c r="AF17" s="19" t="n">
        <v>163840</v>
      </c>
      <c r="AG17" s="16" t="inlineStr">
        <is>
          <t>NO_DELTA_MODELED</t>
        </is>
      </c>
      <c r="AH17" s="19" t="inlineStr">
        <is>
          <t>UNAVAILABLE</t>
        </is>
      </c>
      <c r="AI17" s="19" t="inlineStr">
        <is>
          <t>UNAVAILABLE</t>
        </is>
      </c>
      <c r="AJ17" s="19" t="inlineStr">
        <is>
          <t>UNAVAILABLE</t>
        </is>
      </c>
      <c r="AK17" s="16" t="inlineStr">
        <is>
          <t>Plan A — Optimize current warehouse type</t>
        </is>
      </c>
      <c r="AL17" s="18" t="b">
        <v>0</v>
      </c>
      <c r="AM17" s="17" t="inlineStr">
        <is>
          <t>—</t>
        </is>
      </c>
      <c r="AN17" s="22" t="inlineStr">
        <is>
          <t>[]</t>
        </is>
      </c>
      <c r="AO17" s="22" t="inlineStr">
        <is>
          <t>[]</t>
        </is>
      </c>
      <c r="AP17" s="22" t="inlineStr">
        <is>
          <t>[]</t>
        </is>
      </c>
      <c r="AQ17" s="22" t="inlineStr">
        <is>
          <t>[]</t>
        </is>
      </c>
      <c r="AR17" s="22" t="inlineStr">
        <is>
          <t>[]</t>
        </is>
      </c>
      <c r="AS17" s="22" t="inlineStr">
        <is>
          <t>[]</t>
        </is>
      </c>
    </row>
    <row r="18" ht="24" customHeight="1">
      <c r="A18" s="14" t="inlineStr">
        <is>
          <t>PKG-174715E982DCBFB8A89E70C3</t>
        </is>
      </c>
      <c r="B18" s="14" t="inlineStr">
        <is>
          <t>SCN-FDB5EC0875B1F59325F0FADD</t>
        </is>
      </c>
      <c r="C18" s="14" t="inlineStr">
        <is>
          <t>1234567890123456</t>
        </is>
      </c>
      <c r="D18" s="14" t="inlineStr">
        <is>
          <t>wh-synth-007</t>
        </is>
      </c>
      <c r="E18" s="15" t="inlineStr">
        <is>
          <t>New Product Launch</t>
        </is>
      </c>
      <c r="F18" s="16" t="inlineStr">
        <is>
          <t>product-analytics@databricks.example</t>
        </is>
      </c>
      <c r="G18" s="15" t="inlineStr">
        <is>
          <t>Plan B — Serverless migration experiment</t>
        </is>
      </c>
      <c r="H18" s="16" t="inlineStr">
        <is>
          <t>WAREHOUSE_TYPE_MIGRATION</t>
        </is>
      </c>
      <c r="I18" s="18" t="inlineStr">
        <is>
          <t>ALTERNATIVE</t>
        </is>
      </c>
      <c r="J18" s="18" t="b">
        <v>0</v>
      </c>
      <c r="K18" s="21" t="n">
        <v>0.61</v>
      </c>
      <c r="L18" s="18" t="inlineStr">
        <is>
          <t>MEDIUM</t>
        </is>
      </c>
      <c r="M18" s="16" t="inlineStr">
        <is>
          <t>minimum_step_confidence</t>
        </is>
      </c>
      <c r="N18" s="18" t="inlineStr">
        <is>
          <t>REQUIRES_VALIDATION</t>
        </is>
      </c>
      <c r="O18" s="16" t="inlineStr">
        <is>
          <t>B_READ_ONLY_API</t>
        </is>
      </c>
      <c r="P18" s="16" t="inlineStr">
        <is>
          <t>USD</t>
        </is>
      </c>
      <c r="Q18" s="18" t="inlineStr">
        <is>
          <t>COST_INCREASE</t>
        </is>
      </c>
      <c r="R18" s="19" t="n">
        <v>12000</v>
      </c>
      <c r="S18" s="19" t="n">
        <v>151840</v>
      </c>
      <c r="T18" s="19" t="n">
        <v>163840</v>
      </c>
      <c r="U18" s="19" t="n">
        <v>-328666.67</v>
      </c>
      <c r="V18" s="19" t="n">
        <v>-328666.67</v>
      </c>
      <c r="W18" s="19" t="n">
        <v>-328666.67</v>
      </c>
      <c r="X18" s="19" t="n">
        <v>151840</v>
      </c>
      <c r="Y18" s="19" t="n">
        <v>151840</v>
      </c>
      <c r="Z18" s="19" t="n">
        <v>151840</v>
      </c>
      <c r="AA18" s="19" t="n">
        <v>-176826.67</v>
      </c>
      <c r="AB18" s="19" t="n">
        <v>-176826.67</v>
      </c>
      <c r="AC18" s="19" t="n">
        <v>-176826.67</v>
      </c>
      <c r="AD18" s="19" t="n">
        <v>340666.67</v>
      </c>
      <c r="AE18" s="19" t="n">
        <v>340666.67</v>
      </c>
      <c r="AF18" s="19" t="n">
        <v>340666.67</v>
      </c>
      <c r="AG18" s="16" t="inlineStr">
        <is>
          <t>PRE_CANARY_MODELED_RANGE</t>
        </is>
      </c>
      <c r="AH18" s="19" t="inlineStr">
        <is>
          <t>UNAVAILABLE</t>
        </is>
      </c>
      <c r="AI18" s="19" t="inlineStr">
        <is>
          <t>UNAVAILABLE</t>
        </is>
      </c>
      <c r="AJ18" s="19" t="inlineStr">
        <is>
          <t>UNAVAILABLE</t>
        </is>
      </c>
      <c r="AK18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18" s="18" t="b">
        <v>1</v>
      </c>
      <c r="AM18" s="17" t="n">
        <v>7</v>
      </c>
      <c r="AN18" s="22" t="inlineStr">
        <is>
          <t>[{"check":"aws_region_serverless_availability","details":"{\"policy\":\"Databricks documents Serverless SQL warehouse support across AWS regions.\",\"region\":\"us-east-1\"}","evidence_refs":["EVID-F50B89D1981BBC41BE24B65F"],"requires_hitl":false,"status":"PASS"},{"check":"workspace_serverless_observed","details":"true","evidence_refs":["EVID-DAD524D94B365093E6990606"],"requires_hitl":false,"status":"PASS"},{"check":"workspace_serverless_enablement","details":"true","evidence_refs":["EVID-1A988C9435A4C646C054795C"],"requires_hitl":false,"status":"PASS"},{"check":"external_legacy_hive_metastore_workspace_setting","details":"{\"config_keys\":[],\"detected\":false}","evidence_refs":["EVID-7665354F4642CB67866F4828"],"requires_hitl":false,"status":"PASS"},{"check":"s3_access_policy_compatibility","details":"\"UNKNOWN\"","evidence_refs":["EVID-E85A4C9B3B5A439FE6F3D488"],"requires_hitl":true,"status":"UNKNOWN"},{"check":"legacy_hive_metastore_sql_reference","details":"{\"reference_queries\":0,\"visible_pct\":100.0}","evidence_refs":["EVID-3BAC65585521CF919E44102B"],"requires_hitl":true,"status":"UNKNOWN"}]</t>
        </is>
      </c>
      <c r="AO18" s="22" t="inlineStr">
        <is>
          <t>[{"check":"s3_access_policy_compatibility","details":"\"UNKNOWN\"","evidence_refs":["EVID-E85A4C9B3B5A439FE6F3D488"],"requires_hitl":true,"status":"UNKNOWN"},{"check":"legacy_hive_metastore_sql_reference","details":"{\"reference_queries\":0,\"visible_pct\":100.0}","evidence_refs":["EVID-3BAC65585521CF919E44102B"],"requires_hitl":true,"status":"UNKNOWN"}]</t>
        </is>
      </c>
      <c r="AP18" s="22" t="inlineStr">
        <is>
          <t>[{"action":"VALIDATE_WAREHOUSE_TYPE_COMPATIBILITY","candidate_id":null,"confidence":{"components":{},"level":"MEDIUM","method":"compatibility_and_scenario_evidence","score":0.61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D1C8429D0D427860A3152AFC","confidence":{"components":{"coverage":0.033,"epoch_maturity":0.1,"sample":1.0,"signal":1.0,"stability":0.91},"level":"MEDIUM","method":"deterministic_evidence_score","score":0.61},"current_value":"PRO","dependencies":[],"execution_state":"READY_FOR_CANARY","invalidates":["warehouse_size","max_clusters","min_clusters","auto_stop_minutes"],"knob":"warehouse_type","projected_economics":{"pricing_basis":"AUTHORITATIVE","running_savings_365d":{"aws":{"base":151840.0,"high":151840.0,"low":151840.0},"dbu":{"base":-328666.67,"high":-328666.67,"low":-328666.67},"total":{"base":-176826.67,"high":-176826.67,"low":-176826.67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18" s="22" t="inlineStr">
        <is>
          <t>["CAND-D1C8429D0D427860A3152AFC"]</t>
        </is>
      </c>
      <c r="AR18" s="22" t="inlineStr">
        <is>
          <t>[]</t>
        </is>
      </c>
      <c r="AS18" s="22" t="inlineStr">
        <is>
          <t>["auto_stop_minutes","max_clusters","min_clusters","warehouse_size"]</t>
        </is>
      </c>
    </row>
    <row r="19" ht="24" customHeight="1">
      <c r="A19" s="14" t="inlineStr">
        <is>
          <t>PKG-127DD763EAF773382520242A</t>
        </is>
      </c>
      <c r="B19" s="14" t="inlineStr">
        <is>
          <t>SCN-EFE76D0072038BA31048924A</t>
        </is>
      </c>
      <c r="C19" s="14" t="inlineStr">
        <is>
          <t>1234567890123456</t>
        </is>
      </c>
      <c r="D19" s="14" t="inlineStr">
        <is>
          <t>wh-synth-008</t>
        </is>
      </c>
      <c r="E19" s="15" t="inlineStr">
        <is>
          <t>Serverless Analytics</t>
        </is>
      </c>
      <c r="F19" s="16" t="inlineStr">
        <is>
          <t>serverless-analytics@databricks.example</t>
        </is>
      </c>
      <c r="G19" s="15" t="inlineStr">
        <is>
          <t>Plan A — Optimize current warehouse type</t>
        </is>
      </c>
      <c r="H19" s="16" t="inlineStr">
        <is>
          <t>IN_PLACE_OPTIMIZATION</t>
        </is>
      </c>
      <c r="I19" s="18" t="inlineStr">
        <is>
          <t>RECOMMENDED</t>
        </is>
      </c>
      <c r="J19" s="18" t="b">
        <v>1</v>
      </c>
      <c r="K19" s="21" t="n">
        <v>0.78</v>
      </c>
      <c r="L19" s="18" t="inlineStr">
        <is>
          <t>MEDIUM</t>
        </is>
      </c>
      <c r="M19" s="16" t="inlineStr">
        <is>
          <t>minimum_step_confidence</t>
        </is>
      </c>
      <c r="N19" s="18" t="inlineStr">
        <is>
          <t>COMPATIBLE</t>
        </is>
      </c>
      <c r="O19" s="16" t="inlineStr">
        <is>
          <t>SYSTEM_TABLE_ONLY</t>
        </is>
      </c>
      <c r="P19" s="16" t="inlineStr">
        <is>
          <t>USD</t>
        </is>
      </c>
      <c r="Q19" s="18" t="inlineStr">
        <is>
          <t>SAVINGS</t>
        </is>
      </c>
      <c r="R19" s="19" t="n">
        <v>52000</v>
      </c>
      <c r="S19" s="19" t="n">
        <v>0</v>
      </c>
      <c r="T19" s="19" t="n">
        <v>52000</v>
      </c>
      <c r="U19" s="19" t="n">
        <v>11700</v>
      </c>
      <c r="V19" s="19" t="n">
        <v>18200</v>
      </c>
      <c r="W19" s="19" t="n">
        <v>23400</v>
      </c>
      <c r="X19" s="19" t="n">
        <v>0</v>
      </c>
      <c r="Y19" s="19" t="n">
        <v>0</v>
      </c>
      <c r="Z19" s="19" t="n">
        <v>0</v>
      </c>
      <c r="AA19" s="19" t="n">
        <v>11700</v>
      </c>
      <c r="AB19" s="19" t="n">
        <v>18200</v>
      </c>
      <c r="AC19" s="19" t="n">
        <v>23400</v>
      </c>
      <c r="AD19" s="19" t="n">
        <v>28600</v>
      </c>
      <c r="AE19" s="19" t="n">
        <v>33800</v>
      </c>
      <c r="AF19" s="19" t="n">
        <v>40300</v>
      </c>
      <c r="AG19" s="16" t="inlineStr">
        <is>
          <t>PROVISIONAL_MODELED_RANGE</t>
        </is>
      </c>
      <c r="AH19" s="19" t="n">
        <v>11700</v>
      </c>
      <c r="AI19" s="19" t="n">
        <v>18200</v>
      </c>
      <c r="AJ19" s="19" t="n">
        <v>23400</v>
      </c>
      <c r="AK19" s="16" t="inlineStr">
        <is>
          <t>Plan A — Optimize current warehouse type | 1. warehouse_size MEDIUM→SMALL [READY_FOR_CANARY]; priced AUTHORITATIVE | 2. max_clusters 10→5 [PENDING_REEVALUATION]; priced CONTINGENT | 3. REMEASURE_AND_REGENERATE [REQUIRED]; remeasure 7d</t>
        </is>
      </c>
      <c r="AL19" s="18" t="b">
        <v>1</v>
      </c>
      <c r="AM19" s="17" t="n">
        <v>7</v>
      </c>
      <c r="AN19" s="22" t="inlineStr">
        <is>
          <t>[]</t>
        </is>
      </c>
      <c r="AO19" s="22" t="inlineStr">
        <is>
          <t>[]</t>
        </is>
      </c>
      <c r="AP19" s="22" t="inlineStr">
        <is>
          <t>[{"action":null,"candidate_id":"CAND-8CF2F68ED84D562D3D9E5560","confidence":{"components":{"coverage":1.0,"epoch_maturity":1.0,"sample":1.0,"signal":1.0,"stability":0.91},"level":"MEDIUM","method":"deterministic_evidence_score","score":0.78},"current_value":"MEDIUM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0.0,"high":0.0,"low":0.0},"dbu":{"base":18200.0,"high":23400.0,"low":11700.0},"total":{"base":18200.0,"high":23400.0,"low":11700.0}}},"recommended_value":"SMALL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D7E581D7637D85BCED1CACDC","confidence":{"components":{"coverage":1.0,"epoch_maturity":1.0,"sample":1.0,"signal":1.0,"stability":0.91},"level":"HIGH","method":"deterministic_evidence_score","score":0.93},"current_value":10,"dependencies":[{"condition":null,"dependency_type":"KNOB","ref_id":"warehouse_size"}],"execution_state":"PENDING_REEVALUATION","invalidates":["min_clusters"],"knob":"max_clusters","projected_economics":{"pricing_basis":"CONTINGENT_PENDING_REEVALUATION","running_savings_365d":{"aws":{"base":0.0,"high":0.0,"low":0.0},"dbu":{"base":18200.0,"high":23400.0,"low":11700.0},"total":{"base":18200.0,"high":23400.0,"low":11700.0}}},"recommended_value":5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19" s="22" t="inlineStr">
        <is>
          <t>["CAND-8CF2F68ED84D562D3D9E5560","CAND-D7E581D7637D85BCED1CACDC"]</t>
        </is>
      </c>
      <c r="AR19" s="22" t="inlineStr">
        <is>
          <t>[{"condition":null,"dependency_type":"KNOB","ref_id":"warehouse_channel"},{"condition":null,"dependency_type":"KNOB","ref_id":"warehouse_size"}]</t>
        </is>
      </c>
      <c r="AS19" s="22" t="inlineStr">
        <is>
          <t>["auto_stop_minutes","max_clusters","min_clusters"]</t>
        </is>
      </c>
    </row>
    <row r="20" ht="24" customHeight="1">
      <c r="A20" s="14" t="inlineStr">
        <is>
          <t>PKG-127DD763EAF773382520242A</t>
        </is>
      </c>
      <c r="B20" s="14" t="inlineStr">
        <is>
          <t>SCN-0DE5AFA24E42CA4905AA2E90</t>
        </is>
      </c>
      <c r="C20" s="14" t="inlineStr">
        <is>
          <t>1234567890123456</t>
        </is>
      </c>
      <c r="D20" s="14" t="inlineStr">
        <is>
          <t>wh-synth-008</t>
        </is>
      </c>
      <c r="E20" s="15" t="inlineStr">
        <is>
          <t>Serverless Analytics</t>
        </is>
      </c>
      <c r="F20" s="16" t="inlineStr">
        <is>
          <t>serverless-analytics@databricks.example</t>
        </is>
      </c>
      <c r="G20" s="15" t="inlineStr">
        <is>
          <t>Plan B — Pro migration experiment</t>
        </is>
      </c>
      <c r="H20" s="16" t="inlineStr">
        <is>
          <t>WAREHOUSE_TYPE_MIGRATION</t>
        </is>
      </c>
      <c r="I20" s="18" t="inlineStr">
        <is>
          <t>ALTERNATIVE</t>
        </is>
      </c>
      <c r="J20" s="18" t="b">
        <v>0</v>
      </c>
      <c r="K20" s="21" t="n">
        <v>0.78</v>
      </c>
      <c r="L20" s="18" t="inlineStr">
        <is>
          <t>MEDIUM</t>
        </is>
      </c>
      <c r="M20" s="16" t="inlineStr">
        <is>
          <t>minimum_step_confidence</t>
        </is>
      </c>
      <c r="N20" s="18" t="inlineStr">
        <is>
          <t>REQUIRES_VALIDATION</t>
        </is>
      </c>
      <c r="O20" s="16" t="inlineStr">
        <is>
          <t>B_READ_ONLY_API</t>
        </is>
      </c>
      <c r="P20" s="16" t="inlineStr">
        <is>
          <t>USD</t>
        </is>
      </c>
      <c r="Q20" s="18" t="inlineStr">
        <is>
          <t>COST_INCREASE</t>
        </is>
      </c>
      <c r="R20" s="19" t="n">
        <v>52000</v>
      </c>
      <c r="S20" s="19" t="n">
        <v>0</v>
      </c>
      <c r="T20" s="19" t="n">
        <v>52000</v>
      </c>
      <c r="U20" s="19" t="n">
        <v>-26156.13</v>
      </c>
      <c r="V20" s="19" t="n">
        <v>-16386.62</v>
      </c>
      <c r="W20" s="19" t="n">
        <v>32460.97</v>
      </c>
      <c r="X20" s="19" t="n">
        <v>-10837.65</v>
      </c>
      <c r="Y20" s="19" t="n">
        <v>-9482.940000000001</v>
      </c>
      <c r="Z20" s="19" t="n">
        <v>-2709.41</v>
      </c>
      <c r="AA20" s="19" t="n">
        <v>-36993.78</v>
      </c>
      <c r="AB20" s="19" t="n">
        <v>-25869.56</v>
      </c>
      <c r="AC20" s="19" t="n">
        <v>29751.56</v>
      </c>
      <c r="AD20" s="19" t="n">
        <v>22248.44</v>
      </c>
      <c r="AE20" s="19" t="n">
        <v>77869.56</v>
      </c>
      <c r="AF20" s="19" t="n">
        <v>88993.78</v>
      </c>
      <c r="AG20" s="16" t="inlineStr">
        <is>
          <t>PRE_CANARY_MODELED_RANGE</t>
        </is>
      </c>
      <c r="AH20" s="19" t="inlineStr">
        <is>
          <t>UNAVAILABLE</t>
        </is>
      </c>
      <c r="AI20" s="19" t="inlineStr">
        <is>
          <t>UNAVAILABLE</t>
        </is>
      </c>
      <c r="AJ20" s="19" t="inlineStr">
        <is>
          <t>UNAVAILABLE</t>
        </is>
      </c>
      <c r="AK20" s="16" t="inlineStr">
        <is>
          <t>Plan B — Pro migration experiment | 1. VALIDATE_WAREHOUSE_TYPE_COMPATIBILITY [REQUIRED] | 2. warehouse_type SERVERLESS→PRO [READY_FOR_CANARY]; priced AUTHORITATIVE | 3. REMEASURE_AND_REGENERATE [REQUIRED]; remeasure 7d</t>
        </is>
      </c>
      <c r="AL20" s="18" t="b">
        <v>1</v>
      </c>
      <c r="AM20" s="17" t="n">
        <v>7</v>
      </c>
      <c r="AN20" s="22" t="inlineStr">
        <is>
          <t>[{"check":"workspace_pro_classic_observed","details":"true","evidence_refs":["EVID-A8BF0B9309250A74132C5EBD"],"requires_hitl":false,"status":"PASS"},{"check":"pro_warehouse_type_enabled","details":"true","evidence_refs":["EVID-DA3CD5BE88644D557E028E6B"],"requires_hitl":false,"status":"PASS"},{"check":"aws_price_registry_region","details":"\"us-east-1\"","evidence_refs":["EVID-A2CEA2EBAACB0B0BC33FA08F"],"requires_hitl":false,"status":"PASS"}]</t>
        </is>
      </c>
      <c r="AO20" s="22" t="inlineStr">
        <is>
          <t>[]</t>
        </is>
      </c>
      <c r="AP20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FF7A26AD3267B8B24B7DDE29","confidence":{"components":{"coverage":1.0,"epoch_maturity":1.0,"sample":1.0,"signal":1.0,"stability":0.91},"level":"MEDIUM","method":"deterministic_evidence_score","score":0.78},"current_value":"SERVERLESS","dependencies":[],"execution_state":"READY_FOR_CANARY","invalidates":["warehouse_size","max_clusters","min_clusters","auto_stop_minutes"],"knob":"warehouse_type","projected_economics":{"pricing_basis":"AUTHORITATIVE","running_savings_365d":{"aws":{"base":-9482.94,"high":-2709.41,"low":-10837.65},"dbu":{"base":-16386.62,"high":32460.97,"low":-26156.13},"total":{"base":-25869.56,"high":29751.56,"low":-36993.78}}},"recommended_value":"PRO","step":2,"step_type":"CANDIDATE","technique_id":"WH-PRO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0" s="22" t="inlineStr">
        <is>
          <t>["CAND-FF7A26AD3267B8B24B7DDE29"]</t>
        </is>
      </c>
      <c r="AR20" s="22" t="inlineStr">
        <is>
          <t>[]</t>
        </is>
      </c>
      <c r="AS20" s="22" t="inlineStr">
        <is>
          <t>["auto_stop_minutes","max_clusters","min_clusters","warehouse_size"]</t>
        </is>
      </c>
    </row>
    <row r="21" ht="24" customHeight="1">
      <c r="A21" s="14" t="inlineStr">
        <is>
          <t>PKG-B2D290A3E27C723FA701C058</t>
        </is>
      </c>
      <c r="B21" s="14" t="inlineStr">
        <is>
          <t>SCN-2AD1B1369F3CA903C33A7F0A</t>
        </is>
      </c>
      <c r="C21" s="14" t="inlineStr">
        <is>
          <t>2234567890123456</t>
        </is>
      </c>
      <c r="D21" s="14" t="inlineStr">
        <is>
          <t>wh-synth-010</t>
        </is>
      </c>
      <c r="E21" s="15" t="inlineStr">
        <is>
          <t>Cold Start BI</t>
        </is>
      </c>
      <c r="F21" s="16" t="inlineStr">
        <is>
          <t>bi-platform@databricks.example</t>
        </is>
      </c>
      <c r="G21" s="15" t="inlineStr">
        <is>
          <t>Plan A — Optimize current warehouse type</t>
        </is>
      </c>
      <c r="H21" s="16" t="inlineStr">
        <is>
          <t>IN_PLACE_OPTIMIZATION</t>
        </is>
      </c>
      <c r="I21" s="18" t="inlineStr">
        <is>
          <t>RECOMMENDED</t>
        </is>
      </c>
      <c r="J21" s="18" t="b">
        <v>1</v>
      </c>
      <c r="K21" s="21" t="n">
        <v>0.78</v>
      </c>
      <c r="L21" s="18" t="inlineStr">
        <is>
          <t>MEDIUM</t>
        </is>
      </c>
      <c r="M21" s="16" t="inlineStr">
        <is>
          <t>minimum_step_confidence</t>
        </is>
      </c>
      <c r="N21" s="18" t="inlineStr">
        <is>
          <t>COMPATIBLE</t>
        </is>
      </c>
      <c r="O21" s="16" t="inlineStr">
        <is>
          <t>SYSTEM_TABLE_ONLY</t>
        </is>
      </c>
      <c r="P21" s="16" t="inlineStr">
        <is>
          <t>USD</t>
        </is>
      </c>
      <c r="Q21" s="18" t="inlineStr">
        <is>
          <t>SAVINGS</t>
        </is>
      </c>
      <c r="R21" s="19" t="n">
        <v>17000</v>
      </c>
      <c r="S21" s="19" t="n">
        <v>5488.19</v>
      </c>
      <c r="T21" s="19" t="n">
        <v>22488.19</v>
      </c>
      <c r="U21" s="19" t="n">
        <v>2752.62</v>
      </c>
      <c r="V21" s="19" t="n">
        <v>5050.58</v>
      </c>
      <c r="W21" s="19" t="n">
        <v>6888.95</v>
      </c>
      <c r="X21" s="19" t="n">
        <v>1234.84</v>
      </c>
      <c r="Y21" s="19" t="n">
        <v>1920.87</v>
      </c>
      <c r="Z21" s="19" t="n">
        <v>2469.69</v>
      </c>
      <c r="AA21" s="19" t="n">
        <v>3987.46</v>
      </c>
      <c r="AB21" s="19" t="n">
        <v>6971.45</v>
      </c>
      <c r="AC21" s="19" t="n">
        <v>9358.639999999999</v>
      </c>
      <c r="AD21" s="19" t="n">
        <v>13129.55</v>
      </c>
      <c r="AE21" s="19" t="n">
        <v>15516.74</v>
      </c>
      <c r="AF21" s="19" t="n">
        <v>18500.73</v>
      </c>
      <c r="AG21" s="16" t="inlineStr">
        <is>
          <t>PROVISIONAL_MODELED_RANGE</t>
        </is>
      </c>
      <c r="AH21" s="19" t="n">
        <v>3987.46</v>
      </c>
      <c r="AI21" s="19" t="n">
        <v>6971.45</v>
      </c>
      <c r="AJ21" s="19" t="n">
        <v>9358.639999999999</v>
      </c>
      <c r="AK21" s="16" t="inlineStr">
        <is>
          <t>Plan A — Optimize current warehouse type | 1. warehouse_size MEDIUM→SMALL [READY_FOR_CANARY]; priced AUTHORITATIVE | 2. max_clusters 4→3 [PENDING_REEVALUATION]; priced CONTINGENT | 3. REMEASURE_AND_REGENERATE [REQUIRED]; remeasure 7d</t>
        </is>
      </c>
      <c r="AL21" s="18" t="b">
        <v>1</v>
      </c>
      <c r="AM21" s="17" t="n">
        <v>7</v>
      </c>
      <c r="AN21" s="22" t="inlineStr">
        <is>
          <t>[]</t>
        </is>
      </c>
      <c r="AO21" s="22" t="inlineStr">
        <is>
          <t>[]</t>
        </is>
      </c>
      <c r="AP21" s="22" t="inlineStr">
        <is>
          <t>[{"action":null,"candidate_id":"CAND-B91739B640B2882103617ADC","confidence":{"components":{"coverage":1.0,"epoch_maturity":1.0,"sample":1.0,"signal":1.0,"stability":0.91},"level":"MEDIUM","method":"deterministic_evidence_score","score":0.78},"current_value":"MEDIUM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1920.87,"high":2469.69,"low":1234.84},"dbu":{"base":5050.58,"high":6888.95,"low":2752.62},"total":{"base":6971.45,"high":9358.64,"low":3987.46}}},"recommended_value":"SMALL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-1416408891B7644B4B970F3D","confidence":{"components":{"coverage":1.0,"epoch_maturity":1.0,"sample":1.0,"signal":1.0,"stability":0.91},"level":"HIGH","method":"deterministic_evidence_score","score":0.93},"current_value":4,"dependencies":[{"condition":null,"dependency_type":"KNOB","ref_id":"warehouse_size"}],"execution_state":"PENDING_REEVALUATION","invalidates":["min_clusters"],"knob":"max_clusters","projected_economics":{"pricing_basis":"CONTINGENT_PENDING_REEVALUATION","running_savings_365d":{"aws":{"base":1920.87,"high":2469.69,"low":1234.84},"dbu":{"base":5050.58,"high":6888.95,"low":2752.62},"total":{"base":6971.45,"high":9358.64,"low":3987.46}}},"recommended_value":3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1" s="22" t="inlineStr">
        <is>
          <t>["CAND-B91739B640B2882103617ADC","CAND-1416408891B7644B4B970F3D"]</t>
        </is>
      </c>
      <c r="AR21" s="22" t="inlineStr">
        <is>
          <t>[{"condition":null,"dependency_type":"KNOB","ref_id":"warehouse_channel"},{"condition":null,"dependency_type":"KNOB","ref_id":"warehouse_size"}]</t>
        </is>
      </c>
      <c r="AS21" s="22" t="inlineStr">
        <is>
          <t>["auto_stop_minutes","max_clusters","min_clusters"]</t>
        </is>
      </c>
    </row>
    <row r="22" ht="24" customHeight="1">
      <c r="A22" s="14" t="inlineStr">
        <is>
          <t>PKG-B2D290A3E27C723FA701C058</t>
        </is>
      </c>
      <c r="B22" s="14" t="inlineStr">
        <is>
          <t>SCN-DB87EC8AF05431F8208079A0</t>
        </is>
      </c>
      <c r="C22" s="14" t="inlineStr">
        <is>
          <t>2234567890123456</t>
        </is>
      </c>
      <c r="D22" s="14" t="inlineStr">
        <is>
          <t>wh-synth-010</t>
        </is>
      </c>
      <c r="E22" s="15" t="inlineStr">
        <is>
          <t>Cold Start BI</t>
        </is>
      </c>
      <c r="F22" s="16" t="inlineStr">
        <is>
          <t>bi-platform@databricks.example</t>
        </is>
      </c>
      <c r="G22" s="15" t="inlineStr">
        <is>
          <t>Plan B — Serverless migration experiment</t>
        </is>
      </c>
      <c r="H22" s="16" t="inlineStr">
        <is>
          <t>WAREHOUSE_TYPE_MIGRATION</t>
        </is>
      </c>
      <c r="I22" s="18" t="inlineStr">
        <is>
          <t>ALTERNATIVE</t>
        </is>
      </c>
      <c r="J22" s="18" t="b">
        <v>0</v>
      </c>
      <c r="K22" s="21" t="n">
        <v>0.78</v>
      </c>
      <c r="L22" s="18" t="inlineStr">
        <is>
          <t>MEDIUM</t>
        </is>
      </c>
      <c r="M22" s="16" t="inlineStr">
        <is>
          <t>minimum_step_confidence</t>
        </is>
      </c>
      <c r="N22" s="18" t="inlineStr">
        <is>
          <t>REQUIRES_VALIDATION</t>
        </is>
      </c>
      <c r="O22" s="16" t="inlineStr">
        <is>
          <t>B_READ_ONLY_API</t>
        </is>
      </c>
      <c r="P22" s="16" t="inlineStr">
        <is>
          <t>USD</t>
        </is>
      </c>
      <c r="Q22" s="18" t="inlineStr">
        <is>
          <t>SAVINGS</t>
        </is>
      </c>
      <c r="R22" s="19" t="n">
        <v>17000</v>
      </c>
      <c r="S22" s="19" t="n">
        <v>5488.19</v>
      </c>
      <c r="T22" s="19" t="n">
        <v>22488.19</v>
      </c>
      <c r="U22" s="19" t="n">
        <v>582.33</v>
      </c>
      <c r="V22" s="19" t="n">
        <v>4686.75</v>
      </c>
      <c r="W22" s="19" t="n">
        <v>8791.16</v>
      </c>
      <c r="X22" s="19" t="n">
        <v>5488.19</v>
      </c>
      <c r="Y22" s="19" t="n">
        <v>5488.19</v>
      </c>
      <c r="Z22" s="19" t="n">
        <v>5488.19</v>
      </c>
      <c r="AA22" s="19" t="n">
        <v>6070.52</v>
      </c>
      <c r="AB22" s="19" t="n">
        <v>10174.94</v>
      </c>
      <c r="AC22" s="19" t="n">
        <v>14279.35</v>
      </c>
      <c r="AD22" s="19" t="n">
        <v>8208.84</v>
      </c>
      <c r="AE22" s="19" t="n">
        <v>12313.25</v>
      </c>
      <c r="AF22" s="19" t="n">
        <v>16417.67</v>
      </c>
      <c r="AG22" s="16" t="inlineStr">
        <is>
          <t>PRE_CANARY_MODELED_RANGE</t>
        </is>
      </c>
      <c r="AH22" s="19" t="inlineStr">
        <is>
          <t>UNAVAILABLE</t>
        </is>
      </c>
      <c r="AI22" s="19" t="inlineStr">
        <is>
          <t>UNAVAILABLE</t>
        </is>
      </c>
      <c r="AJ22" s="19" t="inlineStr">
        <is>
          <t>UNAVAILABLE</t>
        </is>
      </c>
      <c r="AK22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22" s="18" t="b">
        <v>1</v>
      </c>
      <c r="AM22" s="17" t="n">
        <v>7</v>
      </c>
      <c r="AN22" s="22" t="inlineStr">
        <is>
          <t>[{"check":"aws_region_serverless_availability","details":"{\"policy\":\"Databricks documents Serverless SQL warehouse support across AWS regions.\",\"region\":\"us-east-1\"}","evidence_refs":["EVID-FA632D73262B55CF827D5211"],"requires_hitl":false,"status":"PASS"},{"check":"workspace_serverless_observed","details":"false","evidence_refs":["EVID-2C06AAF783B5BE4F07CD8F11"],"requires_hitl":true,"status":"UNKNOWN"},{"check":"workspace_serverless_enablement","details":"true","evidence_refs":["EVID-50AC4F920960AAFFE49D6C13"],"requires_hitl":false,"status":"PASS"},{"check":"external_legacy_hive_metastore_workspace_setting","details":"{\"config_keys\":[],\"detected\":false}","evidence_refs":["EVID-7F5D9CC3A93CF86EA6D35DFB"],"requires_hitl":false,"status":"PASS"},{"check":"s3_access_policy_compatibility","details":"\"UNKNOWN\"","evidence_refs":["EVID-E6F82DE3524205296B0288DB"],"requires_hitl":true,"status":"UNKNOWN"},{"check":"legacy_hive_metastore_sql_reference","details":"{\"reference_queries\":0,\"visible_pct\":100.0}","evidence_refs":["EVID-0C21797178BF0546053B9CCA"],"requires_hitl":true,"status":"UNKNOWN"}]</t>
        </is>
      </c>
      <c r="AO22" s="22" t="inlineStr">
        <is>
          <t>[{"check":"workspace_serverless_observed","details":"false","evidence_refs":["EVID-2C06AAF783B5BE4F07CD8F11"],"requires_hitl":true,"status":"UNKNOWN"},{"check":"s3_access_policy_compatibility","details":"\"UNKNOWN\"","evidence_refs":["EVID-E6F82DE3524205296B0288DB"],"requires_hitl":true,"status":"UNKNOWN"},{"check":"legacy_hive_metastore_sql_reference","details":"{\"reference_queries\":0,\"visible_pct\":100.0}","evidence_refs":["EVID-0C21797178BF0546053B9CCA"],"requires_hitl":true,"status":"UNKNOWN"}]</t>
        </is>
      </c>
      <c r="AP22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E299C12314806ACD8AA15BB6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5488.19,"high":5488.19,"low":5488.19},"dbu":{"base":4686.75,"high":8791.16,"low":582.33},"total":{"base":10174.94,"high":14279.35,"low":6070.52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2" s="22" t="inlineStr">
        <is>
          <t>["CAND-E299C12314806ACD8AA15BB6"]</t>
        </is>
      </c>
      <c r="AR22" s="22" t="inlineStr">
        <is>
          <t>[]</t>
        </is>
      </c>
      <c r="AS22" s="22" t="inlineStr">
        <is>
          <t>["auto_stop_minutes","max_clusters","min_clusters","warehouse_size"]</t>
        </is>
      </c>
    </row>
    <row r="23" ht="24" customHeight="1">
      <c r="A23" s="14" t="inlineStr">
        <is>
          <t>PKG-07F463C0C249905A57984274</t>
        </is>
      </c>
      <c r="B23" s="14" t="inlineStr">
        <is>
          <t>SCN-3ADBD372252C701E8605FDBF</t>
        </is>
      </c>
      <c r="C23" s="14" t="inlineStr">
        <is>
          <t>2234567890123456</t>
        </is>
      </c>
      <c r="D23" s="14" t="inlineStr">
        <is>
          <t>wh-synth-013</t>
        </is>
      </c>
      <c r="E23" s="15" t="inlineStr">
        <is>
          <t>Customer 360</t>
        </is>
      </c>
      <c r="F23" s="16" t="inlineStr">
        <is>
          <t>customer360@databricks.example</t>
        </is>
      </c>
      <c r="G23" s="15" t="inlineStr">
        <is>
          <t>Plan A — Optimize current warehouse type</t>
        </is>
      </c>
      <c r="H23" s="16" t="inlineStr">
        <is>
          <t>IN_PLACE_OPTIMIZATION</t>
        </is>
      </c>
      <c r="I23" s="18" t="inlineStr">
        <is>
          <t>RECOMMENDED</t>
        </is>
      </c>
      <c r="J23" s="18" t="b">
        <v>1</v>
      </c>
      <c r="K23" s="21" t="n">
        <v>0.93</v>
      </c>
      <c r="L23" s="18" t="inlineStr">
        <is>
          <t>HIGH</t>
        </is>
      </c>
      <c r="M23" s="16" t="inlineStr">
        <is>
          <t>minimum_step_confidence</t>
        </is>
      </c>
      <c r="N23" s="18" t="inlineStr">
        <is>
          <t>COMPATIBLE</t>
        </is>
      </c>
      <c r="O23" s="16" t="inlineStr">
        <is>
          <t>SYSTEM_TABLE_ONLY</t>
        </is>
      </c>
      <c r="P23" s="16" t="inlineStr">
        <is>
          <t>USD</t>
        </is>
      </c>
      <c r="Q23" s="18" t="inlineStr">
        <is>
          <t>COST_INCREASE</t>
        </is>
      </c>
      <c r="R23" s="19" t="n">
        <v>58000</v>
      </c>
      <c r="S23" s="19" t="n">
        <v>37670.23</v>
      </c>
      <c r="T23" s="19" t="n">
        <v>95670.23</v>
      </c>
      <c r="U23" s="19" t="n">
        <v>-58000</v>
      </c>
      <c r="V23" s="19" t="n">
        <v>-23200</v>
      </c>
      <c r="W23" s="19" t="n">
        <v>0</v>
      </c>
      <c r="X23" s="19" t="n">
        <v>-37670.23</v>
      </c>
      <c r="Y23" s="19" t="n">
        <v>-15068.09</v>
      </c>
      <c r="Z23" s="19" t="n">
        <v>0</v>
      </c>
      <c r="AA23" s="19" t="n">
        <v>-95670.23</v>
      </c>
      <c r="AB23" s="19" t="n">
        <v>-38268.09</v>
      </c>
      <c r="AC23" s="19" t="n">
        <v>0</v>
      </c>
      <c r="AD23" s="19" t="n">
        <v>95670.23</v>
      </c>
      <c r="AE23" s="19" t="n">
        <v>133938.32</v>
      </c>
      <c r="AF23" s="19" t="n">
        <v>191340.46</v>
      </c>
      <c r="AG23" s="16" t="inlineStr">
        <is>
          <t>MODELED_RANGE</t>
        </is>
      </c>
      <c r="AH23" s="19" t="n">
        <v>-93126.87</v>
      </c>
      <c r="AI23" s="19" t="n">
        <v>-34453.06</v>
      </c>
      <c r="AJ23" s="19" t="n">
        <v>5086.72</v>
      </c>
      <c r="AK23" s="16" t="inlineStr">
        <is>
          <t>Plan A — Optimize current warehouse type | 1. warehouse_size LARGE→X_LARGE [READY]; priced AUTHORITATIVE | 2. auto_stop_minutes 45→30 [PENDING_REEVALUATION]; priced CONTINGENT | 3. REMEASURE_AND_REGENERATE [REQUIRED]; remeasure 7d</t>
        </is>
      </c>
      <c r="AL23" s="18" t="b">
        <v>1</v>
      </c>
      <c r="AM23" s="17" t="n">
        <v>7</v>
      </c>
      <c r="AN23" s="22" t="inlineStr">
        <is>
          <t>[]</t>
        </is>
      </c>
      <c r="AO23" s="22" t="inlineStr">
        <is>
          <t>[]</t>
        </is>
      </c>
      <c r="AP23" s="22" t="inlineStr">
        <is>
          <t>[{"action":null,"candidate_id":"CAND-44783D6FD480C2752BDBEC25","confidence":{"components":{"coverage":1.0,"epoch_maturity":1.0,"sample":1.0,"signal":1.0,"stability":0.91},"level":"HIGH","method":"deterministic_evidence_score","score":0.93},"current_value":"LARGE","dependencies":[{"condition":null,"dependency_type":"KNOB","ref_id":"warehouse_channel"}],"execution_state":"READY","invalidates":["max_clusters","min_clusters","auto_stop_minutes"],"knob":"warehouse_size","projected_economics":{"pricing_basis":"AUTHORITATIVE","running_savings_365d":{"aws":{"base":-15068.09,"high":0.0,"low":-37670.23},"dbu":{"base":-23200.0,"high":0.0,"low":-58000.0},"total":{"base":-38268.09,"high":0.0,"low":-95670.23}}},"recommended_value":"X_LARGE","step":1,"step_type":"CANDIDATE","technique_id":"WH-SIZE-UPSIZE-001","validation":{"action_after":null,"remeasure_days":null,"success_metrics":[],"validation_type":"NONE"}},{"action":null,"candidate_id":"CAND-184A3C392690D298B3EFD5E3","confidence":{"components":{"coverage":1.0,"epoch_maturity":1.0,"sample":1.0,"signal":1.0,"stability":0.91},"level":"HIGH","method":"deterministic_evidence_score","score":0.93},"current_value":45,"dependencies":[{"condition":null,"dependency_type":"KNOB","ref_id":"min_clusters"}],"execution_state":"PENDING_REEVALUATION","invalidates":[],"knob":"auto_stop_minutes","projected_economics":{"pricing_basis":"CONTINGENT_PENDING_REEVALUATION","running_savings_365d":{"aws":{"base":-13565.92,"high":2002.9,"low":-36668.78},"dbu":{"base":-20887.14,"high":3083.82,"low":-56458.09},"total":{"base":-34453.06,"high":5086.72,"low":-93126.87}}},"recommended_value":30,"step":2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3" s="22" t="inlineStr">
        <is>
          <t>["CAND-44783D6FD480C2752BDBEC25","CAND-184A3C392690D298B3EFD5E3"]</t>
        </is>
      </c>
      <c r="AR23" s="22" t="inlineStr">
        <is>
          <t>[{"condition":null,"dependency_type":"KNOB","ref_id":"warehouse_channel"},{"condition":null,"dependency_type":"KNOB","ref_id":"min_clusters"}]</t>
        </is>
      </c>
      <c r="AS23" s="22" t="inlineStr">
        <is>
          <t>["auto_stop_minutes","max_clusters","min_clusters"]</t>
        </is>
      </c>
    </row>
    <row r="24" ht="24" customHeight="1">
      <c r="A24" s="14" t="inlineStr">
        <is>
          <t>PKG-07F463C0C249905A57984274</t>
        </is>
      </c>
      <c r="B24" s="14" t="inlineStr">
        <is>
          <t>SCN-3B15D95786681E2F1586255E</t>
        </is>
      </c>
      <c r="C24" s="14" t="inlineStr">
        <is>
          <t>2234567890123456</t>
        </is>
      </c>
      <c r="D24" s="14" t="inlineStr">
        <is>
          <t>wh-synth-013</t>
        </is>
      </c>
      <c r="E24" s="15" t="inlineStr">
        <is>
          <t>Customer 360</t>
        </is>
      </c>
      <c r="F24" s="16" t="inlineStr">
        <is>
          <t>customer360@databricks.example</t>
        </is>
      </c>
      <c r="G24" s="15" t="inlineStr">
        <is>
          <t>Plan B — Serverless migration experiment</t>
        </is>
      </c>
      <c r="H24" s="16" t="inlineStr">
        <is>
          <t>WAREHOUSE_TYPE_MIGRATION</t>
        </is>
      </c>
      <c r="I24" s="18" t="inlineStr">
        <is>
          <t>ALTERNATIVE</t>
        </is>
      </c>
      <c r="J24" s="18" t="b">
        <v>0</v>
      </c>
      <c r="K24" s="21" t="n">
        <v>0.78</v>
      </c>
      <c r="L24" s="18" t="inlineStr">
        <is>
          <t>MEDIUM</t>
        </is>
      </c>
      <c r="M24" s="16" t="inlineStr">
        <is>
          <t>minimum_step_confidence</t>
        </is>
      </c>
      <c r="N24" s="18" t="inlineStr">
        <is>
          <t>REQUIRES_VALIDATION</t>
        </is>
      </c>
      <c r="O24" s="16" t="inlineStr">
        <is>
          <t>B_READ_ONLY_API</t>
        </is>
      </c>
      <c r="P24" s="16" t="inlineStr">
        <is>
          <t>USD</t>
        </is>
      </c>
      <c r="Q24" s="18" t="inlineStr">
        <is>
          <t>SAVINGS</t>
        </is>
      </c>
      <c r="R24" s="19" t="n">
        <v>58000</v>
      </c>
      <c r="S24" s="19" t="n">
        <v>37670.23</v>
      </c>
      <c r="T24" s="19" t="n">
        <v>95670.23</v>
      </c>
      <c r="U24" s="19" t="n">
        <v>-33017.81</v>
      </c>
      <c r="V24" s="19" t="n">
        <v>-26516.54</v>
      </c>
      <c r="W24" s="19" t="n">
        <v>44997.46</v>
      </c>
      <c r="X24" s="19" t="n">
        <v>37670.23</v>
      </c>
      <c r="Y24" s="19" t="n">
        <v>37670.23</v>
      </c>
      <c r="Z24" s="19" t="n">
        <v>37670.23</v>
      </c>
      <c r="AA24" s="19" t="n">
        <v>4652.42</v>
      </c>
      <c r="AB24" s="19" t="n">
        <v>11153.69</v>
      </c>
      <c r="AC24" s="19" t="n">
        <v>82667.69</v>
      </c>
      <c r="AD24" s="19" t="n">
        <v>13002.54</v>
      </c>
      <c r="AE24" s="19" t="n">
        <v>84516.53999999999</v>
      </c>
      <c r="AF24" s="19" t="n">
        <v>91017.81</v>
      </c>
      <c r="AG24" s="16" t="inlineStr">
        <is>
          <t>PRE_CANARY_MODELED_RANGE</t>
        </is>
      </c>
      <c r="AH24" s="19" t="inlineStr">
        <is>
          <t>UNAVAILABLE</t>
        </is>
      </c>
      <c r="AI24" s="19" t="inlineStr">
        <is>
          <t>UNAVAILABLE</t>
        </is>
      </c>
      <c r="AJ24" s="19" t="inlineStr">
        <is>
          <t>UNAVAILABLE</t>
        </is>
      </c>
      <c r="AK24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24" s="18" t="b">
        <v>1</v>
      </c>
      <c r="AM24" s="17" t="n">
        <v>7</v>
      </c>
      <c r="AN24" s="22" t="inlineStr">
        <is>
          <t>[{"check":"aws_region_serverless_availability","details":"{\"policy\":\"Databricks documents Serverless SQL warehouse support across AWS regions.\",\"region\":\"us-east-1\"}","evidence_refs":["EVID-A6B0629AF776267EC1BEFD1C"],"requires_hitl":false,"status":"PASS"},{"check":"workspace_serverless_observed","details":"false","evidence_refs":["EVID-84BB9FB2CC3C791B8780F9FD"],"requires_hitl":true,"status":"UNKNOWN"},{"check":"workspace_serverless_enablement","details":"true","evidence_refs":["EVID-A0E6420717F746163C350A0E"],"requires_hitl":false,"status":"PASS"},{"check":"external_legacy_hive_metastore_workspace_setting","details":"{\"config_keys\":[],\"detected\":false}","evidence_refs":["EVID-38E4F9656837EFDE5FDBF34F"],"requires_hitl":false,"status":"PASS"},{"check":"s3_access_policy_compatibility","details":"\"UNKNOWN\"","evidence_refs":["EVID-BFABA7FE5F4CD649CD8BB5CF"],"requires_hitl":true,"status":"UNKNOWN"},{"check":"legacy_hive_metastore_sql_reference","details":"{\"reference_queries\":0,\"visible_pct\":100.0}","evidence_refs":["EVID-5DCBE726277C51C2DE2EA638"],"requires_hitl":true,"status":"UNKNOWN"}]</t>
        </is>
      </c>
      <c r="AO24" s="22" t="inlineStr">
        <is>
          <t>[{"check":"workspace_serverless_observed","details":"false","evidence_refs":["EVID-84BB9FB2CC3C791B8780F9FD"],"requires_hitl":true,"status":"UNKNOWN"},{"check":"s3_access_policy_compatibility","details":"\"UNKNOWN\"","evidence_refs":["EVID-BFABA7FE5F4CD649CD8BB5CF"],"requires_hitl":true,"status":"UNKNOWN"},{"check":"legacy_hive_metastore_sql_reference","details":"{\"reference_queries\":0,\"visible_pct\":100.0}","evidence_refs":["EVID-5DCBE726277C51C2DE2EA638"],"requires_hitl":true,"status":"UNKNOWN"}]</t>
        </is>
      </c>
      <c r="AP24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D3DD9FFE6744CCBBA9B4F934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37670.23,"high":37670.23,"low":37670.23},"dbu":{"base":-26516.54,"high":44997.46,"low":-33017.81},"total":{"base":11153.69,"high":82667.69,"low":4652.42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4" s="22" t="inlineStr">
        <is>
          <t>["CAND-D3DD9FFE6744CCBBA9B4F934"]</t>
        </is>
      </c>
      <c r="AR24" s="22" t="inlineStr">
        <is>
          <t>[]</t>
        </is>
      </c>
      <c r="AS24" s="22" t="inlineStr">
        <is>
          <t>["auto_stop_minutes","max_clusters","min_clusters","warehouse_size"]</t>
        </is>
      </c>
    </row>
    <row r="25" ht="24" customHeight="1">
      <c r="A25" s="14" t="inlineStr">
        <is>
          <t>PKG-860F9BF3834486EBE41DF046</t>
        </is>
      </c>
      <c r="B25" s="14" t="inlineStr">
        <is>
          <t>SCN-BBAAF3154665B37B8FCEA1E0</t>
        </is>
      </c>
      <c r="C25" s="14" t="inlineStr">
        <is>
          <t>2234567890123456</t>
        </is>
      </c>
      <c r="D25" s="14" t="inlineStr">
        <is>
          <t>wh-synth-015</t>
        </is>
      </c>
      <c r="E25" s="15" t="inlineStr">
        <is>
          <t>HR Reporting</t>
        </is>
      </c>
      <c r="F25" s="16" t="inlineStr">
        <is>
          <t>hr-analytics@databricks.example</t>
        </is>
      </c>
      <c r="G25" s="15" t="inlineStr">
        <is>
          <t>Plan A — Optimize current warehouse type</t>
        </is>
      </c>
      <c r="H25" s="16" t="inlineStr">
        <is>
          <t>IN_PLACE_OPTIMIZATION</t>
        </is>
      </c>
      <c r="I25" s="18" t="inlineStr">
        <is>
          <t>RECOMMENDED</t>
        </is>
      </c>
      <c r="J25" s="18" t="b">
        <v>1</v>
      </c>
      <c r="K25" s="21" t="n">
        <v>0.78</v>
      </c>
      <c r="L25" s="18" t="inlineStr">
        <is>
          <t>MEDIUM</t>
        </is>
      </c>
      <c r="M25" s="16" t="inlineStr">
        <is>
          <t>minimum_step_confidence</t>
        </is>
      </c>
      <c r="N25" s="18" t="inlineStr">
        <is>
          <t>COMPATIBLE</t>
        </is>
      </c>
      <c r="O25" s="16" t="inlineStr">
        <is>
          <t>SYSTEM_TABLE_ONLY</t>
        </is>
      </c>
      <c r="P25" s="16" t="inlineStr">
        <is>
          <t>USD</t>
        </is>
      </c>
      <c r="Q25" s="18" t="inlineStr">
        <is>
          <t>SAVINGS</t>
        </is>
      </c>
      <c r="R25" s="19" t="n">
        <v>15500</v>
      </c>
      <c r="S25" s="19" t="n">
        <v>3615.24</v>
      </c>
      <c r="T25" s="19" t="n">
        <v>19115.24</v>
      </c>
      <c r="U25" s="19" t="n">
        <v>3487.5</v>
      </c>
      <c r="V25" s="19" t="n">
        <v>5425</v>
      </c>
      <c r="W25" s="19" t="n">
        <v>6975</v>
      </c>
      <c r="X25" s="19" t="n">
        <v>813.4299999999999</v>
      </c>
      <c r="Y25" s="19" t="n">
        <v>1265.33</v>
      </c>
      <c r="Z25" s="19" t="n">
        <v>1626.86</v>
      </c>
      <c r="AA25" s="19" t="n">
        <v>4300.93</v>
      </c>
      <c r="AB25" s="19" t="n">
        <v>6690.33</v>
      </c>
      <c r="AC25" s="19" t="n">
        <v>8601.860000000001</v>
      </c>
      <c r="AD25" s="19" t="n">
        <v>10513.38</v>
      </c>
      <c r="AE25" s="19" t="n">
        <v>12424.91</v>
      </c>
      <c r="AF25" s="19" t="n">
        <v>14814.31</v>
      </c>
      <c r="AG25" s="16" t="inlineStr">
        <is>
          <t>PROVISIONAL_MODELED_RANGE</t>
        </is>
      </c>
      <c r="AH25" s="19" t="n">
        <v>5247.13</v>
      </c>
      <c r="AI25" s="19" t="n">
        <v>10260.1</v>
      </c>
      <c r="AJ25" s="19" t="n">
        <v>14795.2</v>
      </c>
      <c r="AK25" s="16" t="inlineStr">
        <is>
          <t>Plan A — Optimize current warehouse type | 1. warehouse_size SMALL→X_SMALL [READY_FOR_CANARY]; priced AUTHORITATIVE | 2. min_clusters 2→1 [PENDING_REEVALUATION]; priced CONTINGENT | 3. auto_stop_minutes 120→30 [PENDING_REEVALUATION]; priced CONTINGENT | 4. REMEASURE_AND_REGENERATE [REQUIRED]; remeasure 7d</t>
        </is>
      </c>
      <c r="AL25" s="18" t="b">
        <v>1</v>
      </c>
      <c r="AM25" s="17" t="n">
        <v>7</v>
      </c>
      <c r="AN25" s="22" t="inlineStr">
        <is>
          <t>[]</t>
        </is>
      </c>
      <c r="AO25" s="22" t="inlineStr">
        <is>
          <t>[]</t>
        </is>
      </c>
      <c r="AP25" s="22" t="inlineStr">
        <is>
          <t>[{"action":null,"candidate_id":"CAND-B6913E34C50A503A1D6DBEA0","confidence":{"components":{"coverage":1.0,"epoch_maturity":1.0,"sample":1.0,"signal":1.0,"stability":0.91},"level":"MEDIUM","method":"deterministic_evidence_score","score":0.78},"current_value":"SMALL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1265.33,"high":1626.86,"low":813.43},"dbu":{"base":5425.0,"high":6975.0,"low":3487.5},"total":{"base":6690.33,"high":8601.86,"low":4300.93}}},"recommended_value":"X_SMALL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C1A802D5E5BEE703D8ED0085","confidence":{"components":{"coverage":1.0,"epoch_maturity":1.0,"sample":1.0,"signal":1.0,"stability":0.91},"level":"MEDIUM","method":"deterministic_evidence_score","score":0.78},"current_value":2,"dependencies":[{"condition":null,"dependency_type":"KNOB","ref_id":"warehouse_size"},{"condition":null,"dependency_type":"KNOB","ref_id":"max_clusters"}],"execution_state":"PENDING_REEVALUATION","invalidates":["auto_stop_minutes"],"knob":"min_clusters","projected_economics":{"pricing_basis":"CONTINGENT_PENDING_REEVALUATION","running_savings_365d":{"aws":{"base":1672.05,"high":2440.29,"low":813.43},"dbu":{"base":7168.75,"high":10462.5,"low":3487.5},"total":{"base":8840.8,"high":12902.79,"low":4300.93}}},"recommended_value":1,"step":2,"step_type":"CANDIDATE","technique_id":"WH-MIN-CLUSTER-REDUCE-001","validation":{"action_after":null,"remeasure_days":null,"success_metrics":["p95_execution_ms","p99_execution_ms","failure_rate","queue_wait","dbu_cost","aws_cost"],"validation_type":"A_B_CANARY"}},{"action":null,"candidate_id":"CAND-0F14BBC11AE756EB5AFB1C96","confidence":{"components":{"coverage":1.0,"epoch_maturity":1.0,"sample":1.0,"signal":1.0,"stability":0.91},"level":"HIGH","method":"deterministic_evidence_score","score":0.93},"current_value":120,"dependencies":[{"condition":null,"dependency_type":"KNOB","ref_id":"min_clusters"}],"execution_state":"PENDING_REEVALUATION","invalidates":[],"knob":"auto_stop_minutes","projected_economics":{"pricing_basis":"CONTINGENT_PENDING_REEVALUATION","running_savings_365d":{"aws":{"base":1940.48,"high":2798.2,"low":992.38},"dbu":{"base":8319.62,"high":11997.0,"low":4254.75},"total":{"base":10260.1,"high":14795.2,"low":5247.13}}},"recommended_value":30,"step":3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4,"step_type":"REMEASURE","technique_id":null,"validation":{"action_after":"REGENERATE_RECOMMENDATIONS","remeasure_days":7,"success_metrics":[],"validation_type":"REMEASURE"}}]</t>
        </is>
      </c>
      <c r="AQ25" s="22" t="inlineStr">
        <is>
          <t>["CAND-B6913E34C50A503A1D6DBEA0","CAND-C1A802D5E5BEE703D8ED0085","CAND-0F14BBC11AE756EB5AFB1C96"]</t>
        </is>
      </c>
      <c r="AR25" s="22" t="inlineStr">
        <is>
          <t>[{"condition":null,"dependency_type":"KNOB","ref_id":"warehouse_channel"},{"condition":null,"dependency_type":"KNOB","ref_id":"warehouse_size"},{"condition":null,"dependency_type":"KNOB","ref_id":"max_clusters"},{"condition":null,"dependency_type":"KNOB","ref_id":"min_clusters"}]</t>
        </is>
      </c>
      <c r="AS25" s="22" t="inlineStr">
        <is>
          <t>["auto_stop_minutes","max_clusters","min_clusters"]</t>
        </is>
      </c>
    </row>
    <row r="26" ht="24" customHeight="1">
      <c r="A26" s="14" t="inlineStr">
        <is>
          <t>PKG-860F9BF3834486EBE41DF046</t>
        </is>
      </c>
      <c r="B26" s="14" t="inlineStr">
        <is>
          <t>SCN-4C7F7B95C214EEBF380310D5</t>
        </is>
      </c>
      <c r="C26" s="14" t="inlineStr">
        <is>
          <t>2234567890123456</t>
        </is>
      </c>
      <c r="D26" s="14" t="inlineStr">
        <is>
          <t>wh-synth-015</t>
        </is>
      </c>
      <c r="E26" s="15" t="inlineStr">
        <is>
          <t>HR Reporting</t>
        </is>
      </c>
      <c r="F26" s="16" t="inlineStr">
        <is>
          <t>hr-analytics@databricks.example</t>
        </is>
      </c>
      <c r="G26" s="15" t="inlineStr">
        <is>
          <t>Plan B — Serverless migration experiment</t>
        </is>
      </c>
      <c r="H26" s="16" t="inlineStr">
        <is>
          <t>WAREHOUSE_TYPE_MIGRATION</t>
        </is>
      </c>
      <c r="I26" s="18" t="inlineStr">
        <is>
          <t>ALTERNATIVE</t>
        </is>
      </c>
      <c r="J26" s="18" t="b">
        <v>0</v>
      </c>
      <c r="K26" s="21" t="n">
        <v>0.78</v>
      </c>
      <c r="L26" s="18" t="inlineStr">
        <is>
          <t>MEDIUM</t>
        </is>
      </c>
      <c r="M26" s="16" t="inlineStr">
        <is>
          <t>minimum_step_confidence</t>
        </is>
      </c>
      <c r="N26" s="18" t="inlineStr">
        <is>
          <t>REQUIRES_VALIDATION</t>
        </is>
      </c>
      <c r="O26" s="16" t="inlineStr">
        <is>
          <t>B_READ_ONLY_API</t>
        </is>
      </c>
      <c r="P26" s="16" t="inlineStr">
        <is>
          <t>USD</t>
        </is>
      </c>
      <c r="Q26" s="18" t="inlineStr">
        <is>
          <t>SAVINGS</t>
        </is>
      </c>
      <c r="R26" s="19" t="n">
        <v>15500</v>
      </c>
      <c r="S26" s="19" t="n">
        <v>3615.24</v>
      </c>
      <c r="T26" s="19" t="n">
        <v>19115.24</v>
      </c>
      <c r="U26" s="19" t="n">
        <v>7388.89</v>
      </c>
      <c r="V26" s="19" t="n">
        <v>7388.89</v>
      </c>
      <c r="W26" s="19" t="n">
        <v>11444.44</v>
      </c>
      <c r="X26" s="19" t="n">
        <v>3615.24</v>
      </c>
      <c r="Y26" s="19" t="n">
        <v>3615.24</v>
      </c>
      <c r="Z26" s="19" t="n">
        <v>3615.24</v>
      </c>
      <c r="AA26" s="19" t="n">
        <v>11004.13</v>
      </c>
      <c r="AB26" s="19" t="n">
        <v>11004.13</v>
      </c>
      <c r="AC26" s="19" t="n">
        <v>15059.68</v>
      </c>
      <c r="AD26" s="19" t="n">
        <v>4055.56</v>
      </c>
      <c r="AE26" s="19" t="n">
        <v>8111.11</v>
      </c>
      <c r="AF26" s="19" t="n">
        <v>8111.11</v>
      </c>
      <c r="AG26" s="16" t="inlineStr">
        <is>
          <t>PRE_CANARY_MODELED_RANGE</t>
        </is>
      </c>
      <c r="AH26" s="19" t="inlineStr">
        <is>
          <t>UNAVAILABLE</t>
        </is>
      </c>
      <c r="AI26" s="19" t="inlineStr">
        <is>
          <t>UNAVAILABLE</t>
        </is>
      </c>
      <c r="AJ26" s="19" t="inlineStr">
        <is>
          <t>UNAVAILABLE</t>
        </is>
      </c>
      <c r="AK26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26" s="18" t="b">
        <v>1</v>
      </c>
      <c r="AM26" s="17" t="n">
        <v>7</v>
      </c>
      <c r="AN26" s="22" t="inlineStr">
        <is>
          <t>[{"check":"aws_region_serverless_availability","details":"{\"policy\":\"Databricks documents Serverless SQL warehouse support across AWS regions.\",\"region\":\"us-east-1\"}","evidence_refs":["EVID-A247506597147334B7EBC5FA"],"requires_hitl":false,"status":"PASS"},{"check":"workspace_serverless_observed","details":"false","evidence_refs":["EVID-3A343CC6FF17D49FC9AD677E"],"requires_hitl":true,"status":"UNKNOWN"},{"check":"workspace_serverless_enablement","details":"true","evidence_refs":["EVID-16B432383FD0DDFEE4D012AE"],"requires_hitl":false,"status":"PASS"},{"check":"external_legacy_hive_metastore_workspace_setting","details":"{\"config_keys\":[],\"detected\":false}","evidence_refs":["EVID-F130A53A660169C51BDDECBF"],"requires_hitl":false,"status":"PASS"},{"check":"s3_access_policy_compatibility","details":"\"UNKNOWN\"","evidence_refs":["EVID-2C1A5879F6C5D019F73F53CF"],"requires_hitl":true,"status":"UNKNOWN"},{"check":"legacy_hive_metastore_sql_reference","details":"{\"reference_queries\":0,\"visible_pct\":100.0}","evidence_refs":["EVID-71AA2350F44ED33F293E9415"],"requires_hitl":true,"status":"UNKNOWN"}]</t>
        </is>
      </c>
      <c r="AO26" s="22" t="inlineStr">
        <is>
          <t>[{"check":"workspace_serverless_observed","details":"false","evidence_refs":["EVID-3A343CC6FF17D49FC9AD677E"],"requires_hitl":true,"status":"UNKNOWN"},{"check":"s3_access_policy_compatibility","details":"\"UNKNOWN\"","evidence_refs":["EVID-2C1A5879F6C5D019F73F53CF"],"requires_hitl":true,"status":"UNKNOWN"},{"check":"legacy_hive_metastore_sql_reference","details":"{\"reference_queries\":0,\"visible_pct\":100.0}","evidence_refs":["EVID-71AA2350F44ED33F293E9415"],"requires_hitl":true,"status":"UNKNOWN"}]</t>
        </is>
      </c>
      <c r="AP26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-53AF57B05EB45846CF76155B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3615.24,"high":3615.24,"low":3615.24},"dbu":{"base":7388.89,"high":11444.44,"low":7388.89},"total":{"base":11004.13,"high":15059.68,"low":11004.13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6" s="22" t="inlineStr">
        <is>
          <t>["CAND-53AF57B05EB45846CF76155B"]</t>
        </is>
      </c>
      <c r="AR26" s="22" t="inlineStr">
        <is>
          <t>[]</t>
        </is>
      </c>
      <c r="AS26" s="22" t="inlineStr">
        <is>
          <t>["auto_stop_minutes","max_clusters","min_clusters","warehouse_size"]</t>
        </is>
      </c>
    </row>
    <row r="27" ht="24" customHeight="1">
      <c r="A27" s="14" t="inlineStr">
        <is>
          <t>PKG-7BBB53D3EBA7FF15A78C71B4</t>
        </is>
      </c>
      <c r="B27" s="14" t="inlineStr">
        <is>
          <t>SCN-B1AE3151CA3DFABC9D6F87A2</t>
        </is>
      </c>
      <c r="C27" s="14" t="inlineStr">
        <is>
          <t>2234567890123456</t>
        </is>
      </c>
      <c r="D27" s="14" t="inlineStr">
        <is>
          <t>wh-synth-014</t>
        </is>
      </c>
      <c r="E27" s="15" t="inlineStr">
        <is>
          <t>Ops Dashboards</t>
        </is>
      </c>
      <c r="F27" s="16" t="inlineStr">
        <is>
          <t>operations@databricks.example</t>
        </is>
      </c>
      <c r="G27" s="15" t="inlineStr">
        <is>
          <t>Plan A — Optimize current warehouse type</t>
        </is>
      </c>
      <c r="H27" s="16" t="inlineStr">
        <is>
          <t>IN_PLACE_OPTIMIZATION</t>
        </is>
      </c>
      <c r="I27" s="18" t="inlineStr">
        <is>
          <t>RECOMMENDED</t>
        </is>
      </c>
      <c r="J27" s="18" t="b">
        <v>1</v>
      </c>
      <c r="K27" s="21" t="n">
        <v>0.78</v>
      </c>
      <c r="L27" s="18" t="inlineStr">
        <is>
          <t>MEDIUM</t>
        </is>
      </c>
      <c r="M27" s="16" t="inlineStr">
        <is>
          <t>minimum_step_confidence</t>
        </is>
      </c>
      <c r="N27" s="18" t="inlineStr">
        <is>
          <t>COMPATIBLE</t>
        </is>
      </c>
      <c r="O27" s="16" t="inlineStr">
        <is>
          <t>SYSTEM_TABLE_ONLY</t>
        </is>
      </c>
      <c r="P27" s="16" t="inlineStr">
        <is>
          <t>USD</t>
        </is>
      </c>
      <c r="Q27" s="18" t="inlineStr">
        <is>
          <t>SAVINGS</t>
        </is>
      </c>
      <c r="R27" s="19" t="n">
        <v>26000</v>
      </c>
      <c r="S27" s="19" t="n">
        <v>5338.12</v>
      </c>
      <c r="T27" s="19" t="n">
        <v>31338.12</v>
      </c>
      <c r="U27" s="19" t="n">
        <v>4209.88</v>
      </c>
      <c r="V27" s="19" t="n">
        <v>7724.42</v>
      </c>
      <c r="W27" s="19" t="n">
        <v>10536.05</v>
      </c>
      <c r="X27" s="19" t="n">
        <v>1201.08</v>
      </c>
      <c r="Y27" s="19" t="n">
        <v>1868.34</v>
      </c>
      <c r="Z27" s="19" t="n">
        <v>2402.15</v>
      </c>
      <c r="AA27" s="19" t="n">
        <v>5410.96</v>
      </c>
      <c r="AB27" s="19" t="n">
        <v>9592.76</v>
      </c>
      <c r="AC27" s="19" t="n">
        <v>12938.2</v>
      </c>
      <c r="AD27" s="19" t="n">
        <v>18399.92</v>
      </c>
      <c r="AE27" s="19" t="n">
        <v>21745.36</v>
      </c>
      <c r="AF27" s="19" t="n">
        <v>25927.16</v>
      </c>
      <c r="AG27" s="16" t="inlineStr">
        <is>
          <t>PROVISIONAL_MODELED_RANGE</t>
        </is>
      </c>
      <c r="AH27" s="19" t="n">
        <v>5410.96</v>
      </c>
      <c r="AI27" s="19" t="n">
        <v>9592.76</v>
      </c>
      <c r="AJ27" s="19" t="n">
        <v>12938.2</v>
      </c>
      <c r="AK27" s="16" t="inlineStr">
        <is>
          <t>Plan A — Optimize current warehouse type | 1. warehouse_size MEDIUM→SMALL [READY_FOR_CANARY]; priced AUTHORITATIVE | 2. max_clusters 8→3 [PENDING_REEVALUATION]; priced CONTINGENT | 3. REMEASURE_AND_REGENERATE [REQUIRED]; remeasure 7d</t>
        </is>
      </c>
      <c r="AL27" s="18" t="b">
        <v>1</v>
      </c>
      <c r="AM27" s="17" t="n">
        <v>7</v>
      </c>
      <c r="AN27" s="22" t="inlineStr">
        <is>
          <t>[]</t>
        </is>
      </c>
      <c r="AO27" s="22" t="inlineStr">
        <is>
          <t>[]</t>
        </is>
      </c>
      <c r="AP27" s="22" t="inlineStr">
        <is>
          <t>[{"action":null,"candidate_id":"CAND-3B94CC5756DFC0077D2E12FE","confidence":{"components":{"coverage":1.0,"epoch_maturity":1.0,"sample":1.0,"signal":1.0,"stability":0.91},"level":"MEDIUM","method":"deterministic_evidence_score","score":0.78},"current_value":"MEDIUM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1868.34,"high":2402.15,"low":1201.08},"dbu":{"base":7724.42,"high":10536.05,"low":4209.88},"total":{"base":9592.76,"high":12938.2,"low":5410.96}}},"recommended_value":"SMALL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F89285A886F733FCF48A39F5","confidence":{"components":{"coverage":1.0,"epoch_maturity":1.0,"sample":1.0,"signal":1.0,"stability":0.91},"level":"HIGH","method":"deterministic_evidence_score","score":0.93},"current_value":8,"dependencies":[{"condition":null,"dependency_type":"KNOB","ref_id":"warehouse_size"}],"execution_state":"PENDING_REEVALUATION","invalidates":["min_clusters"],"knob":"max_clusters","projected_economics":{"pricing_basis":"CONTINGENT_PENDING_REEVALUATION","running_savings_365d":{"aws":{"base":1868.34,"high":2402.15,"low":1201.08},"dbu":{"base":7724.42,"high":10536.05,"low":4209.88},"total":{"base":9592.76,"high":12938.2,"low":5410.96}}},"recommended_value":3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7" s="22" t="inlineStr">
        <is>
          <t>["CAND-3B94CC5756DFC0077D2E12FE","CAND-F89285A886F733FCF48A39F5"]</t>
        </is>
      </c>
      <c r="AR27" s="22" t="inlineStr">
        <is>
          <t>[{"condition":null,"dependency_type":"KNOB","ref_id":"warehouse_channel"},{"condition":null,"dependency_type":"KNOB","ref_id":"warehouse_size"}]</t>
        </is>
      </c>
      <c r="AS27" s="22" t="inlineStr">
        <is>
          <t>["auto_stop_minutes","max_clusters","min_clusters"]</t>
        </is>
      </c>
    </row>
    <row r="28" ht="24" customHeight="1">
      <c r="A28" s="14" t="inlineStr">
        <is>
          <t>PKG-7BBB53D3EBA7FF15A78C71B4</t>
        </is>
      </c>
      <c r="B28" s="14" t="inlineStr">
        <is>
          <t>SCN-7AA042130907C622B3D829D7</t>
        </is>
      </c>
      <c r="C28" s="14" t="inlineStr">
        <is>
          <t>2234567890123456</t>
        </is>
      </c>
      <c r="D28" s="14" t="inlineStr">
        <is>
          <t>wh-synth-014</t>
        </is>
      </c>
      <c r="E28" s="15" t="inlineStr">
        <is>
          <t>Ops Dashboards</t>
        </is>
      </c>
      <c r="F28" s="16" t="inlineStr">
        <is>
          <t>operations@databricks.example</t>
        </is>
      </c>
      <c r="G28" s="15" t="inlineStr">
        <is>
          <t>Plan B — Serverless migration experiment</t>
        </is>
      </c>
      <c r="H28" s="16" t="inlineStr">
        <is>
          <t>WAREHOUSE_TYPE_MIGRATION</t>
        </is>
      </c>
      <c r="I28" s="18" t="inlineStr">
        <is>
          <t>ALTERNATIVE</t>
        </is>
      </c>
      <c r="J28" s="18" t="b">
        <v>0</v>
      </c>
      <c r="K28" s="21" t="n">
        <v>0.78</v>
      </c>
      <c r="L28" s="18" t="inlineStr">
        <is>
          <t>MEDIUM</t>
        </is>
      </c>
      <c r="M28" s="16" t="inlineStr">
        <is>
          <t>minimum_step_confidence</t>
        </is>
      </c>
      <c r="N28" s="18" t="inlineStr">
        <is>
          <t>REQUIRES_VALIDATION</t>
        </is>
      </c>
      <c r="O28" s="16" t="inlineStr">
        <is>
          <t>B_READ_ONLY_API</t>
        </is>
      </c>
      <c r="P28" s="16" t="inlineStr">
        <is>
          <t>USD</t>
        </is>
      </c>
      <c r="Q28" s="18" t="inlineStr">
        <is>
          <t>SAVINGS</t>
        </is>
      </c>
      <c r="R28" s="19" t="n">
        <v>26000</v>
      </c>
      <c r="S28" s="19" t="n">
        <v>5338.12</v>
      </c>
      <c r="T28" s="19" t="n">
        <v>31338.12</v>
      </c>
      <c r="U28" s="19" t="n">
        <v>10031.25</v>
      </c>
      <c r="V28" s="19" t="n">
        <v>14023.44</v>
      </c>
      <c r="W28" s="19" t="n">
        <v>18015.63</v>
      </c>
      <c r="X28" s="19" t="n">
        <v>5338.12</v>
      </c>
      <c r="Y28" s="19" t="n">
        <v>5338.12</v>
      </c>
      <c r="Z28" s="19" t="n">
        <v>5338.12</v>
      </c>
      <c r="AA28" s="19" t="n">
        <v>15369.37</v>
      </c>
      <c r="AB28" s="19" t="n">
        <v>19361.56</v>
      </c>
      <c r="AC28" s="19" t="n">
        <v>23353.75</v>
      </c>
      <c r="AD28" s="19" t="n">
        <v>7984.37</v>
      </c>
      <c r="AE28" s="19" t="n">
        <v>11976.56</v>
      </c>
      <c r="AF28" s="19" t="n">
        <v>15968.75</v>
      </c>
      <c r="AG28" s="16" t="inlineStr">
        <is>
          <t>PRE_CANARY_MODELED_RANGE</t>
        </is>
      </c>
      <c r="AH28" s="19" t="inlineStr">
        <is>
          <t>UNAVAILABLE</t>
        </is>
      </c>
      <c r="AI28" s="19" t="inlineStr">
        <is>
          <t>UNAVAILABLE</t>
        </is>
      </c>
      <c r="AJ28" s="19" t="inlineStr">
        <is>
          <t>UNAVAILABLE</t>
        </is>
      </c>
      <c r="AK28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28" s="18" t="b">
        <v>1</v>
      </c>
      <c r="AM28" s="17" t="n">
        <v>7</v>
      </c>
      <c r="AN28" s="22" t="inlineStr">
        <is>
          <t>[{"check":"aws_region_serverless_availability","details":"{\"policy\":\"Databricks documents Serverless SQL warehouse support across AWS regions.\",\"region\":\"us-east-1\"}","evidence_refs":["EVID-F48AEEBA5FE65654FE81C0FC"],"requires_hitl":false,"status":"PASS"},{"check":"workspace_serverless_observed","details":"false","evidence_refs":["EVID-EAC15F6872ADFF0F3C60D54F"],"requires_hitl":true,"status":"UNKNOWN"},{"check":"workspace_serverless_enablement","details":"true","evidence_refs":["EVID-15C90A7069D97FFBF27141F6"],"requires_hitl":false,"status":"PASS"},{"check":"external_legacy_hive_metastore_workspace_setting","details":"{\"config_keys\":[],\"detected\":false}","evidence_refs":["EVID-27BF4F675CF47BE7ED7D92A7"],"requires_hitl":false,"status":"PASS"},{"check":"s3_access_policy_compatibility","details":"\"UNKNOWN\"","evidence_refs":["EVID-C1B2C572B41553D2862081B7"],"requires_hitl":true,"status":"UNKNOWN"},{"check":"legacy_hive_metastore_sql_reference","details":"{\"reference_queries\":0,\"visible_pct\":100.0}","evidence_refs":["EVID-05A39DE059C813C193661F07"],"requires_hitl":true,"status":"UNKNOWN"}]</t>
        </is>
      </c>
      <c r="AO28" s="22" t="inlineStr">
        <is>
          <t>[{"check":"workspace_serverless_observed","details":"false","evidence_refs":["EVID-EAC15F6872ADFF0F3C60D54F"],"requires_hitl":true,"status":"UNKNOWN"},{"check":"s3_access_policy_compatibility","details":"\"UNKNOWN\"","evidence_refs":["EVID-C1B2C572B41553D2862081B7"],"requires_hitl":true,"status":"UNKNOWN"},{"check":"legacy_hive_metastore_sql_reference","details":"{\"reference_queries\":0,\"visible_pct\":100.0}","evidence_refs":["EVID-05A39DE059C813C193661F07"],"requires_hitl":true,"status":"UNKNOWN"}]</t>
        </is>
      </c>
      <c r="AP28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AD58D34434A2170D1BF1A9B1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5338.12,"high":5338.12,"low":5338.12},"dbu":{"base":14023.44,"high":18015.63,"low":10031.25},"total":{"base":19361.56,"high":23353.75,"low":15369.37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8" s="22" t="inlineStr">
        <is>
          <t>["CAND-AD58D34434A2170D1BF1A9B1"]</t>
        </is>
      </c>
      <c r="AR28" s="22" t="inlineStr">
        <is>
          <t>[]</t>
        </is>
      </c>
      <c r="AS28" s="22" t="inlineStr">
        <is>
          <t>["auto_stop_minutes","max_clusters","min_clusters","warehouse_size"]</t>
        </is>
      </c>
    </row>
    <row r="29" ht="24" customHeight="1">
      <c r="A29" s="14" t="inlineStr">
        <is>
          <t>PKG-64D236F637ADCD1FA2350E7B</t>
        </is>
      </c>
      <c r="B29" s="14" t="inlineStr">
        <is>
          <t>SCN-C7D4A73498A01E43CF2F1F99</t>
        </is>
      </c>
      <c r="C29" s="14" t="inlineStr">
        <is>
          <t>2234567890123456</t>
        </is>
      </c>
      <c r="D29" s="14" t="inlineStr">
        <is>
          <t>wh-synth-009</t>
        </is>
      </c>
      <c r="E29" s="15" t="inlineStr">
        <is>
          <t>Photon Migration Lab</t>
        </is>
      </c>
      <c r="F29" s="16" t="inlineStr">
        <is>
          <t>platform-lab@databricks.example</t>
        </is>
      </c>
      <c r="G29" s="15" t="inlineStr">
        <is>
          <t>Plan A — Optimize current warehouse type</t>
        </is>
      </c>
      <c r="H29" s="16" t="inlineStr">
        <is>
          <t>IN_PLACE_OPTIMIZATION</t>
        </is>
      </c>
      <c r="I29" s="18" t="inlineStr">
        <is>
          <t>RECOMMENDED</t>
        </is>
      </c>
      <c r="J29" s="18" t="b">
        <v>1</v>
      </c>
      <c r="K29" s="21" t="n">
        <v>0.78</v>
      </c>
      <c r="L29" s="18" t="inlineStr">
        <is>
          <t>MEDIUM</t>
        </is>
      </c>
      <c r="M29" s="16" t="inlineStr">
        <is>
          <t>minimum_step_confidence</t>
        </is>
      </c>
      <c r="N29" s="18" t="inlineStr">
        <is>
          <t>COMPATIBLE</t>
        </is>
      </c>
      <c r="O29" s="16" t="inlineStr">
        <is>
          <t>SYSTEM_TABLE_ONLY</t>
        </is>
      </c>
      <c r="P29" s="16" t="inlineStr">
        <is>
          <t>USD</t>
        </is>
      </c>
      <c r="Q29" s="18" t="inlineStr">
        <is>
          <t>SAVINGS</t>
        </is>
      </c>
      <c r="R29" s="19" t="n">
        <v>21000</v>
      </c>
      <c r="S29" s="19" t="n">
        <v>2932.53</v>
      </c>
      <c r="T29" s="19" t="n">
        <v>23932.53</v>
      </c>
      <c r="U29" s="19" t="n">
        <v>4725</v>
      </c>
      <c r="V29" s="19" t="n">
        <v>7350</v>
      </c>
      <c r="W29" s="19" t="n">
        <v>9450</v>
      </c>
      <c r="X29" s="19" t="n">
        <v>659.8200000000001</v>
      </c>
      <c r="Y29" s="19" t="n">
        <v>1026.39</v>
      </c>
      <c r="Z29" s="19" t="n">
        <v>1319.64</v>
      </c>
      <c r="AA29" s="19" t="n">
        <v>5384.82</v>
      </c>
      <c r="AB29" s="19" t="n">
        <v>8376.389999999999</v>
      </c>
      <c r="AC29" s="19" t="n">
        <v>10769.64</v>
      </c>
      <c r="AD29" s="19" t="n">
        <v>13162.89</v>
      </c>
      <c r="AE29" s="19" t="n">
        <v>15556.14</v>
      </c>
      <c r="AF29" s="19" t="n">
        <v>18547.71</v>
      </c>
      <c r="AG29" s="16" t="inlineStr">
        <is>
          <t>PROVISIONAL_MODELED_RANGE</t>
        </is>
      </c>
      <c r="AH29" s="19" t="n">
        <v>6102.8</v>
      </c>
      <c r="AI29" s="19" t="n">
        <v>9453.35</v>
      </c>
      <c r="AJ29" s="19" t="n">
        <v>12205.59</v>
      </c>
      <c r="AK29" s="16" t="inlineStr">
        <is>
          <t>Plan A — Optimize current warehouse type | 1. warehouse_size SMALL→X_SMALL [READY_FOR_CANARY]; priced AUTHORITATIVE | 2. auto_stop_minutes 60→30 [PENDING_REEVALUATION]; priced CONTINGENT | 3. REMEASURE_AND_REGENERATE [REQUIRED]; remeasure 7d</t>
        </is>
      </c>
      <c r="AL29" s="18" t="b">
        <v>1</v>
      </c>
      <c r="AM29" s="17" t="n">
        <v>7</v>
      </c>
      <c r="AN29" s="22" t="inlineStr">
        <is>
          <t>[]</t>
        </is>
      </c>
      <c r="AO29" s="22" t="inlineStr">
        <is>
          <t>[]</t>
        </is>
      </c>
      <c r="AP29" s="22" t="inlineStr">
        <is>
          <t>[{"action":null,"candidate_id":"CAND-4D7163BFB57F1D099F93FBB4","confidence":{"components":{"coverage":1.0,"epoch_maturity":1.0,"sample":1.0,"signal":1.0,"stability":0.91},"level":"MEDIUM","method":"deterministic_evidence_score","score":0.78},"current_value":"SMALL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1026.39,"high":1319.64,"low":659.82},"dbu":{"base":7350.0,"high":9450.0,"low":4725.0},"total":{"base":8376.39,"high":10769.64,"low":5384.82}}},"recommended_value":"X_SMALL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A69115976DE8B2D6CED3E2F9","confidence":{"components":{"coverage":1.0,"epoch_maturity":1.0,"sample":1.0,"signal":1.0,"stability":0.91},"level":"HIGH","method":"deterministic_evidence_score","score":0.93},"current_value":60,"dependencies":[{"condition":null,"dependency_type":"KNOB","ref_id":"min_clusters"}],"execution_state":"PENDING_REEVALUATION","invalidates":[],"knob":"auto_stop_minutes","projected_economics":{"pricing_basis":"CONTINGENT_PENDING_REEVALUATION","running_savings_365d":{"aws":{"base":1158.35,"high":1495.59,"low":747.8},"dbu":{"base":8295.0,"high":10710.0,"low":5355.0},"total":{"base":9453.35,"high":12205.59,"low":6102.8}}},"recommended_value":30,"step":2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29" s="22" t="inlineStr">
        <is>
          <t>["CAND-4D7163BFB57F1D099F93FBB4","CAND-A69115976DE8B2D6CED3E2F9"]</t>
        </is>
      </c>
      <c r="AR29" s="22" t="inlineStr">
        <is>
          <t>[{"condition":null,"dependency_type":"KNOB","ref_id":"warehouse_channel"},{"condition":null,"dependency_type":"KNOB","ref_id":"min_clusters"}]</t>
        </is>
      </c>
      <c r="AS29" s="22" t="inlineStr">
        <is>
          <t>["auto_stop_minutes","max_clusters","min_clusters"]</t>
        </is>
      </c>
    </row>
    <row r="30" ht="24" customHeight="1">
      <c r="A30" s="14" t="inlineStr">
        <is>
          <t>PKG-64D236F637ADCD1FA2350E7B</t>
        </is>
      </c>
      <c r="B30" s="14" t="inlineStr">
        <is>
          <t>SCN-C2B8462C39C6CBF67EA76272</t>
        </is>
      </c>
      <c r="C30" s="14" t="inlineStr">
        <is>
          <t>2234567890123456</t>
        </is>
      </c>
      <c r="D30" s="14" t="inlineStr">
        <is>
          <t>wh-synth-009</t>
        </is>
      </c>
      <c r="E30" s="15" t="inlineStr">
        <is>
          <t>Photon Migration Lab</t>
        </is>
      </c>
      <c r="F30" s="16" t="inlineStr">
        <is>
          <t>platform-lab@databricks.example</t>
        </is>
      </c>
      <c r="G30" s="15" t="inlineStr">
        <is>
          <t>Plan B — Serverless migration experiment</t>
        </is>
      </c>
      <c r="H30" s="16" t="inlineStr">
        <is>
          <t>WAREHOUSE_TYPE_MIGRATION</t>
        </is>
      </c>
      <c r="I30" s="18" t="inlineStr">
        <is>
          <t>ALTERNATIVE</t>
        </is>
      </c>
      <c r="J30" s="18" t="b">
        <v>0</v>
      </c>
      <c r="K30" s="21" t="n">
        <v>0.78</v>
      </c>
      <c r="L30" s="18" t="inlineStr">
        <is>
          <t>MEDIUM</t>
        </is>
      </c>
      <c r="M30" s="16" t="inlineStr">
        <is>
          <t>minimum_step_confidence</t>
        </is>
      </c>
      <c r="N30" s="18" t="inlineStr">
        <is>
          <t>REQUIRES_VALIDATION</t>
        </is>
      </c>
      <c r="O30" s="16" t="inlineStr">
        <is>
          <t>B_READ_ONLY_API</t>
        </is>
      </c>
      <c r="P30" s="16" t="inlineStr">
        <is>
          <t>USD</t>
        </is>
      </c>
      <c r="Q30" s="18" t="inlineStr">
        <is>
          <t>SAVINGS</t>
        </is>
      </c>
      <c r="R30" s="19" t="n">
        <v>21000</v>
      </c>
      <c r="S30" s="19" t="n">
        <v>2932.53</v>
      </c>
      <c r="T30" s="19" t="n">
        <v>23932.53</v>
      </c>
      <c r="U30" s="19" t="n">
        <v>12227.47</v>
      </c>
      <c r="V30" s="19" t="n">
        <v>14420.6</v>
      </c>
      <c r="W30" s="19" t="n">
        <v>16613.73</v>
      </c>
      <c r="X30" s="19" t="n">
        <v>2932.53</v>
      </c>
      <c r="Y30" s="19" t="n">
        <v>2932.53</v>
      </c>
      <c r="Z30" s="19" t="n">
        <v>2932.53</v>
      </c>
      <c r="AA30" s="19" t="n">
        <v>15160</v>
      </c>
      <c r="AB30" s="19" t="n">
        <v>17353.13</v>
      </c>
      <c r="AC30" s="19" t="n">
        <v>19546.26</v>
      </c>
      <c r="AD30" s="19" t="n">
        <v>4386.27</v>
      </c>
      <c r="AE30" s="19" t="n">
        <v>6579.4</v>
      </c>
      <c r="AF30" s="19" t="n">
        <v>8772.530000000001</v>
      </c>
      <c r="AG30" s="16" t="inlineStr">
        <is>
          <t>PRE_CANARY_MODELED_RANGE</t>
        </is>
      </c>
      <c r="AH30" s="19" t="inlineStr">
        <is>
          <t>UNAVAILABLE</t>
        </is>
      </c>
      <c r="AI30" s="19" t="inlineStr">
        <is>
          <t>UNAVAILABLE</t>
        </is>
      </c>
      <c r="AJ30" s="19" t="inlineStr">
        <is>
          <t>UNAVAILABLE</t>
        </is>
      </c>
      <c r="AK30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30" s="18" t="b">
        <v>1</v>
      </c>
      <c r="AM30" s="17" t="n">
        <v>7</v>
      </c>
      <c r="AN30" s="22" t="inlineStr">
        <is>
          <t>[{"check":"aws_region_serverless_availability","details":"{\"policy\":\"Databricks documents Serverless SQL warehouse support across AWS regions.\",\"region\":\"us-east-1\"}","evidence_refs":["EVID-F508A01058EA0B6B9B6F94A6"],"requires_hitl":false,"status":"PASS"},{"check":"workspace_serverless_observed","details":"false","evidence_refs":["EVID-978B04F1AA38AA4C2EF6D66F"],"requires_hitl":true,"status":"UNKNOWN"},{"check":"workspace_serverless_enablement","details":"true","evidence_refs":["EVID-C45D5F5AEEEFC5D7036ABEFB"],"requires_hitl":false,"status":"PASS"},{"check":"external_legacy_hive_metastore_workspace_setting","details":"{\"config_keys\":[],\"detected\":false}","evidence_refs":["EVID-D7B86E8FA15817630DB367C9"],"requires_hitl":false,"status":"PASS"},{"check":"s3_access_policy_compatibility","details":"\"UNKNOWN\"","evidence_refs":["EVID-8C834AFA4684E60064532F4A"],"requires_hitl":true,"status":"UNKNOWN"},{"check":"legacy_hive_metastore_sql_reference","details":"{\"reference_queries\":0,\"visible_pct\":100.0}","evidence_refs":["EVID-15BC98689FE74269E3463311"],"requires_hitl":true,"status":"UNKNOWN"}]</t>
        </is>
      </c>
      <c r="AO30" s="22" t="inlineStr">
        <is>
          <t>[{"check":"workspace_serverless_observed","details":"false","evidence_refs":["EVID-978B04F1AA38AA4C2EF6D66F"],"requires_hitl":true,"status":"UNKNOWN"},{"check":"s3_access_policy_compatibility","details":"\"UNKNOWN\"","evidence_refs":["EVID-8C834AFA4684E60064532F4A"],"requires_hitl":true,"status":"UNKNOWN"},{"check":"legacy_hive_metastore_sql_reference","details":"{\"reference_queries\":0,\"visible_pct\":100.0}","evidence_refs":["EVID-15BC98689FE74269E3463311"],"requires_hitl":true,"status":"UNKNOWN"}]</t>
        </is>
      </c>
      <c r="AP30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-0E7487FBA4179110E052404A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2932.53,"high":2932.53,"low":2932.53},"dbu":{"base":14420.6,"high":16613.73,"low":12227.47},"total":{"base":17353.13,"high":19546.26,"low":15160.0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30" s="22" t="inlineStr">
        <is>
          <t>["CAND-0E7487FBA4179110E052404A"]</t>
        </is>
      </c>
      <c r="AR30" s="22" t="inlineStr">
        <is>
          <t>[]</t>
        </is>
      </c>
      <c r="AS30" s="22" t="inlineStr">
        <is>
          <t>["auto_stop_minutes","max_clusters","min_clusters","warehouse_size"]</t>
        </is>
      </c>
    </row>
    <row r="31" ht="24" customHeight="1">
      <c r="A31" s="14" t="inlineStr">
        <is>
          <t>PKG-B1B32F263A12954F8161595B</t>
        </is>
      </c>
      <c r="B31" s="14" t="inlineStr">
        <is>
          <t>SCN-90F84EEF462106B503D5FCD5</t>
        </is>
      </c>
      <c r="C31" s="14" t="inlineStr">
        <is>
          <t>2234567890123456</t>
        </is>
      </c>
      <c r="D31" s="14" t="inlineStr">
        <is>
          <t>wh-synth-011</t>
        </is>
      </c>
      <c r="E31" s="15" t="inlineStr">
        <is>
          <t>Sandbox Sparse</t>
        </is>
      </c>
      <c r="F31" s="16" t="inlineStr">
        <is>
          <t>sandbox@databricks.example</t>
        </is>
      </c>
      <c r="G31" s="15" t="inlineStr">
        <is>
          <t>Plan A — Optimize current warehouse type</t>
        </is>
      </c>
      <c r="H31" s="16" t="inlineStr">
        <is>
          <t>IN_PLACE_OPTIMIZATION</t>
        </is>
      </c>
      <c r="I31" s="18" t="inlineStr">
        <is>
          <t>RECOMMENDED</t>
        </is>
      </c>
      <c r="J31" s="18" t="b">
        <v>1</v>
      </c>
      <c r="K31" s="21" t="n">
        <v>1</v>
      </c>
      <c r="L31" s="18" t="inlineStr">
        <is>
          <t>HIGH</t>
        </is>
      </c>
      <c r="M31" s="16" t="inlineStr">
        <is>
          <t>minimum_step_confidence</t>
        </is>
      </c>
      <c r="N31" s="18" t="inlineStr">
        <is>
          <t>COMPATIBLE</t>
        </is>
      </c>
      <c r="O31" s="16" t="inlineStr">
        <is>
          <t>SYSTEM_TABLE_ONLY</t>
        </is>
      </c>
      <c r="P31" s="16" t="inlineStr">
        <is>
          <t>USD</t>
        </is>
      </c>
      <c r="Q31" s="18" t="inlineStr">
        <is>
          <t>NO_CHANGE</t>
        </is>
      </c>
      <c r="R31" s="19" t="n">
        <v>3200</v>
      </c>
      <c r="S31" s="19" t="n">
        <v>3733.77</v>
      </c>
      <c r="T31" s="19" t="n">
        <v>6933.77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9" t="n">
        <v>0</v>
      </c>
      <c r="AA31" s="19" t="n">
        <v>0</v>
      </c>
      <c r="AB31" s="19" t="n">
        <v>0</v>
      </c>
      <c r="AC31" s="19" t="n">
        <v>0</v>
      </c>
      <c r="AD31" s="19" t="n">
        <v>6933.77</v>
      </c>
      <c r="AE31" s="19" t="n">
        <v>6933.77</v>
      </c>
      <c r="AF31" s="19" t="n">
        <v>6933.77</v>
      </c>
      <c r="AG31" s="16" t="inlineStr">
        <is>
          <t>NO_DELTA_MODELED</t>
        </is>
      </c>
      <c r="AH31" s="19" t="inlineStr">
        <is>
          <t>UNAVAILABLE</t>
        </is>
      </c>
      <c r="AI31" s="19" t="inlineStr">
        <is>
          <t>UNAVAILABLE</t>
        </is>
      </c>
      <c r="AJ31" s="19" t="inlineStr">
        <is>
          <t>UNAVAILABLE</t>
        </is>
      </c>
      <c r="AK31" s="16" t="inlineStr">
        <is>
          <t>Plan A — Optimize current warehouse type</t>
        </is>
      </c>
      <c r="AL31" s="18" t="b">
        <v>0</v>
      </c>
      <c r="AM31" s="17" t="inlineStr">
        <is>
          <t>—</t>
        </is>
      </c>
      <c r="AN31" s="22" t="inlineStr">
        <is>
          <t>[]</t>
        </is>
      </c>
      <c r="AO31" s="22" t="inlineStr">
        <is>
          <t>[]</t>
        </is>
      </c>
      <c r="AP31" s="22" t="inlineStr">
        <is>
          <t>[]</t>
        </is>
      </c>
      <c r="AQ31" s="22" t="inlineStr">
        <is>
          <t>[]</t>
        </is>
      </c>
      <c r="AR31" s="22" t="inlineStr">
        <is>
          <t>[]</t>
        </is>
      </c>
      <c r="AS31" s="22" t="inlineStr">
        <is>
          <t>[]</t>
        </is>
      </c>
    </row>
    <row r="32" ht="24" customHeight="1">
      <c r="A32" s="14" t="inlineStr">
        <is>
          <t>PKG-B1B32F263A12954F8161595B</t>
        </is>
      </c>
      <c r="B32" s="14" t="inlineStr">
        <is>
          <t>SCN-C76B1BF0BE04F2268A48C457</t>
        </is>
      </c>
      <c r="C32" s="14" t="inlineStr">
        <is>
          <t>2234567890123456</t>
        </is>
      </c>
      <c r="D32" s="14" t="inlineStr">
        <is>
          <t>wh-synth-011</t>
        </is>
      </c>
      <c r="E32" s="15" t="inlineStr">
        <is>
          <t>Sandbox Sparse</t>
        </is>
      </c>
      <c r="F32" s="16" t="inlineStr">
        <is>
          <t>sandbox@databricks.example</t>
        </is>
      </c>
      <c r="G32" s="15" t="inlineStr">
        <is>
          <t>Plan B — Serverless migration experiment</t>
        </is>
      </c>
      <c r="H32" s="16" t="inlineStr">
        <is>
          <t>WAREHOUSE_TYPE_MIGRATION</t>
        </is>
      </c>
      <c r="I32" s="18" t="inlineStr">
        <is>
          <t>ALTERNATIVE</t>
        </is>
      </c>
      <c r="J32" s="18" t="b">
        <v>0</v>
      </c>
      <c r="K32" s="21" t="n">
        <v>0.731</v>
      </c>
      <c r="L32" s="18" t="inlineStr">
        <is>
          <t>MEDIUM</t>
        </is>
      </c>
      <c r="M32" s="16" t="inlineStr">
        <is>
          <t>minimum_step_confidence</t>
        </is>
      </c>
      <c r="N32" s="18" t="inlineStr">
        <is>
          <t>REQUIRES_VALIDATION</t>
        </is>
      </c>
      <c r="O32" s="16" t="inlineStr">
        <is>
          <t>B_READ_ONLY_API</t>
        </is>
      </c>
      <c r="P32" s="16" t="inlineStr">
        <is>
          <t>USD</t>
        </is>
      </c>
      <c r="Q32" s="18" t="inlineStr">
        <is>
          <t>COST_INCREASE</t>
        </is>
      </c>
      <c r="R32" s="19" t="n">
        <v>3200</v>
      </c>
      <c r="S32" s="19" t="n">
        <v>3733.77</v>
      </c>
      <c r="T32" s="19" t="n">
        <v>6933.77</v>
      </c>
      <c r="U32" s="19" t="n">
        <v>-5177.05</v>
      </c>
      <c r="V32" s="19" t="n">
        <v>-5177.05</v>
      </c>
      <c r="W32" s="19" t="n">
        <v>-5177.05</v>
      </c>
      <c r="X32" s="19" t="n">
        <v>3733.77</v>
      </c>
      <c r="Y32" s="19" t="n">
        <v>3733.77</v>
      </c>
      <c r="Z32" s="19" t="n">
        <v>3733.77</v>
      </c>
      <c r="AA32" s="19" t="n">
        <v>-1443.28</v>
      </c>
      <c r="AB32" s="19" t="n">
        <v>-1443.28</v>
      </c>
      <c r="AC32" s="19" t="n">
        <v>-1443.28</v>
      </c>
      <c r="AD32" s="19" t="n">
        <v>8377.049999999999</v>
      </c>
      <c r="AE32" s="19" t="n">
        <v>8377.049999999999</v>
      </c>
      <c r="AF32" s="19" t="n">
        <v>8377.049999999999</v>
      </c>
      <c r="AG32" s="16" t="inlineStr">
        <is>
          <t>PRE_CANARY_MODELED_RANGE</t>
        </is>
      </c>
      <c r="AH32" s="19" t="inlineStr">
        <is>
          <t>UNAVAILABLE</t>
        </is>
      </c>
      <c r="AI32" s="19" t="inlineStr">
        <is>
          <t>UNAVAILABLE</t>
        </is>
      </c>
      <c r="AJ32" s="19" t="inlineStr">
        <is>
          <t>UNAVAILABLE</t>
        </is>
      </c>
      <c r="AK32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32" s="18" t="b">
        <v>1</v>
      </c>
      <c r="AM32" s="17" t="n">
        <v>7</v>
      </c>
      <c r="AN32" s="22" t="inlineStr">
        <is>
          <t>[{"check":"aws_region_serverless_availability","details":"{\"policy\":\"Databricks documents Serverless SQL warehouse support across AWS regions.\",\"region\":\"us-east-1\"}","evidence_refs":["EVID-11E47EFC2708CBFEDD50ADF5"],"requires_hitl":false,"status":"PASS"},{"check":"workspace_serverless_observed","details":"false","evidence_refs":["EVID-AA1588DBCF52F271FDBDC1CB"],"requires_hitl":true,"status":"UNKNOWN"},{"check":"workspace_serverless_enablement","details":"true","evidence_refs":["EVID-406AF2C15F491C90EC38F696"],"requires_hitl":false,"status":"PASS"},{"check":"external_legacy_hive_metastore_workspace_setting","details":"{\"config_keys\":[],\"detected\":false}","evidence_refs":["EVID-BFA6C64A9A6B80359A92DDCF"],"requires_hitl":false,"status":"PASS"},{"check":"s3_access_policy_compatibility","details":"\"UNKNOWN\"","evidence_refs":["EVID-C93E53FFBF15C2C059DD7551"],"requires_hitl":true,"status":"UNKNOWN"},{"check":"legacy_hive_metastore_sql_reference","details":"{\"reference_queries\":0,\"visible_pct\":100.0}","evidence_refs":["EVID-3E185CE21A5B0320DDCB65EB"],"requires_hitl":true,"status":"UNKNOWN"}]</t>
        </is>
      </c>
      <c r="AO32" s="22" t="inlineStr">
        <is>
          <t>[{"check":"workspace_serverless_observed","details":"false","evidence_refs":["EVID-AA1588DBCF52F271FDBDC1CB"],"requires_hitl":true,"status":"UNKNOWN"},{"check":"s3_access_policy_compatibility","details":"\"UNKNOWN\"","evidence_refs":["EVID-C93E53FFBF15C2C059DD7551"],"requires_hitl":true,"status":"UNKNOWN"},{"check":"legacy_hive_metastore_sql_reference","details":"{\"reference_queries\":0,\"visible_pct\":100.0}","evidence_refs":["EVID-3E185CE21A5B0320DDCB65EB"],"requires_hitl":true,"status":"UNKNOWN"}]</t>
        </is>
      </c>
      <c r="AP32" s="22" t="inlineStr">
        <is>
          <t>[{"action":"VALIDATE_WAREHOUSE_TYPE_COMPATIBILITY","candidate_id":null,"confidence":{"components":{},"level":"MEDIUM","method":"compatibility_and_scenario_evidence","score":0.731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-0CF01F172DB34D3AE5983193","confidence":{"components":{"coverage":1.0,"epoch_maturity":1.0,"sample":0.09,"signal":1.0,"stability":0.725},"level":"MEDIUM","method":"deterministic_evidence_score","score":0.731},"current_value":"PRO","dependencies":[],"execution_state":"READY_FOR_CANARY","invalidates":["warehouse_size","max_clusters","min_clusters","auto_stop_minutes"],"knob":"warehouse_type","projected_economics":{"pricing_basis":"AUTHORITATIVE","running_savings_365d":{"aws":{"base":3733.77,"high":3733.77,"low":3733.77},"dbu":{"base":-5177.05,"high":-5177.05,"low":-5177.05},"total":{"base":-1443.28,"high":-1443.28,"low":-1443.28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32" s="22" t="inlineStr">
        <is>
          <t>["CAND-0CF01F172DB34D3AE5983193"]</t>
        </is>
      </c>
      <c r="AR32" s="22" t="inlineStr">
        <is>
          <t>[]</t>
        </is>
      </c>
      <c r="AS32" s="22" t="inlineStr">
        <is>
          <t>["auto_stop_minutes","max_clusters","min_clusters","warehouse_size"]</t>
        </is>
      </c>
    </row>
    <row r="33" ht="24" customHeight="1">
      <c r="A33" s="14" t="inlineStr">
        <is>
          <t>PKG-8A3D702F2E106E66AE0DA92A</t>
        </is>
      </c>
      <c r="B33" s="14" t="inlineStr">
        <is>
          <t>SCN-CD13BC97911EDD734CF17B6B</t>
        </is>
      </c>
      <c r="C33" s="14" t="inlineStr">
        <is>
          <t>2234567890123456</t>
        </is>
      </c>
      <c r="D33" s="14" t="inlineStr">
        <is>
          <t>wh-synth-012</t>
        </is>
      </c>
      <c r="E33" s="15" t="inlineStr">
        <is>
          <t>Supply Chain BI</t>
        </is>
      </c>
      <c r="F33" s="16" t="inlineStr">
        <is>
          <t>supply-chain@databricks.example</t>
        </is>
      </c>
      <c r="G33" s="15" t="inlineStr">
        <is>
          <t>Plan A — Optimize current warehouse type</t>
        </is>
      </c>
      <c r="H33" s="16" t="inlineStr">
        <is>
          <t>IN_PLACE_OPTIMIZATION</t>
        </is>
      </c>
      <c r="I33" s="18" t="inlineStr">
        <is>
          <t>RECOMMENDED</t>
        </is>
      </c>
      <c r="J33" s="18" t="b">
        <v>1</v>
      </c>
      <c r="K33" s="21" t="n">
        <v>0.78</v>
      </c>
      <c r="L33" s="18" t="inlineStr">
        <is>
          <t>MEDIUM</t>
        </is>
      </c>
      <c r="M33" s="16" t="inlineStr">
        <is>
          <t>minimum_step_confidence</t>
        </is>
      </c>
      <c r="N33" s="18" t="inlineStr">
        <is>
          <t>COMPATIBLE</t>
        </is>
      </c>
      <c r="O33" s="16" t="inlineStr">
        <is>
          <t>SYSTEM_TABLE_ONLY</t>
        </is>
      </c>
      <c r="P33" s="16" t="inlineStr">
        <is>
          <t>USD</t>
        </is>
      </c>
      <c r="Q33" s="18" t="inlineStr">
        <is>
          <t>COST_INCREASE</t>
        </is>
      </c>
      <c r="R33" s="19" t="n">
        <v>33000</v>
      </c>
      <c r="S33" s="19" t="n">
        <v>8793.82</v>
      </c>
      <c r="T33" s="19" t="n">
        <v>41793.82</v>
      </c>
      <c r="U33" s="19" t="n">
        <v>-14417.66</v>
      </c>
      <c r="V33" s="19" t="n">
        <v>-6769.65</v>
      </c>
      <c r="W33" s="19" t="n">
        <v>-651.24</v>
      </c>
      <c r="X33" s="19" t="n">
        <v>615.5700000000001</v>
      </c>
      <c r="Y33" s="19" t="n">
        <v>1934.64</v>
      </c>
      <c r="Z33" s="19" t="n">
        <v>2989.9</v>
      </c>
      <c r="AA33" s="19" t="n">
        <v>-13802.09</v>
      </c>
      <c r="AB33" s="19" t="n">
        <v>-4835.01</v>
      </c>
      <c r="AC33" s="19" t="n">
        <v>2338.66</v>
      </c>
      <c r="AD33" s="19" t="n">
        <v>39455.16</v>
      </c>
      <c r="AE33" s="19" t="n">
        <v>46628.83</v>
      </c>
      <c r="AF33" s="19" t="n">
        <v>55595.91</v>
      </c>
      <c r="AG33" s="16" t="inlineStr">
        <is>
          <t>PROVISIONAL_MODELED_RANGE</t>
        </is>
      </c>
      <c r="AH33" s="19" t="n">
        <v>-11649.99</v>
      </c>
      <c r="AI33" s="19" t="n">
        <v>-1606.86</v>
      </c>
      <c r="AJ33" s="19" t="n">
        <v>6642.85</v>
      </c>
      <c r="AK33" s="16" t="inlineStr">
        <is>
          <t>Plan A — Optimize current warehouse type | 1. warehouse_size LARGE→MEDIUM [READY_FOR_CANARY]; priced AUTHORITATIVE | 2. max_clusters 5→3 [PENDING_REEVALUATION]; priced CONTINGENT | 3. auto_stop_minutes 60→30 [PENDING_REEVALUATION]; priced CONTINGENT | 4. REMEASURE_AND_REGENERATE [REQUIRED]; remeasure 7d</t>
        </is>
      </c>
      <c r="AL33" s="18" t="b">
        <v>1</v>
      </c>
      <c r="AM33" s="17" t="n">
        <v>7</v>
      </c>
      <c r="AN33" s="22" t="inlineStr">
        <is>
          <t>[]</t>
        </is>
      </c>
      <c r="AO33" s="22" t="inlineStr">
        <is>
          <t>[]</t>
        </is>
      </c>
      <c r="AP33" s="22" t="inlineStr">
        <is>
          <t>[{"action":null,"candidate_id":"CAND-20A04702FCD63664C07653A5","confidence":{"components":{"coverage":1.0,"epoch_maturity":1.0,"sample":1.0,"signal":1.0,"stability":0.91},"level":"MEDIUM","method":"deterministic_evidence_score","score":0.78},"current_value":"LARGE","dependencies":[{"condition":null,"dependency_type":"KNOB","ref_id":"warehouse_channel"}],"execution_state":"READY_FOR_CANARY","invalidates":["max_clusters","min_clusters","auto_stop_minutes"],"knob":"warehouse_size","projected_economics":{"pricing_basis":"AUTHORITATIVE","running_savings_365d":{"aws":{"base":1934.64,"high":2989.9,"low":615.57},"dbu":{"base":-6769.65,"high":-651.24,"low":-14417.66},"total":{"base":-4835.01,"high":2338.66,"low":-13802.09}}},"recommended_value":"MEDIUM","step":1,"step_type":"CANDIDATE","technique_id":"WH-SIZE-DOWNSIZE-001","validation":{"action_after":null,"remeasure_days":null,"success_metrics":["p95_execution_ms","p99_execution_ms","failure_rate","queue_wait","dbu_cost","aws_cost"],"validation_type":"A_B_CANARY"}},{"action":null,"candidate_id":"CAND-9ADFC70F5FC112A2499B5375","confidence":{"components":{"coverage":1.0,"epoch_maturity":1.0,"sample":1.0,"signal":1.0,"stability":0.91},"level":"HIGH","method":"deterministic_evidence_score","score":0.93},"current_value":5,"dependencies":[{"condition":null,"dependency_type":"KNOB","ref_id":"warehouse_size"}],"execution_state":"PENDING_REEVALUATION","invalidates":["min_clusters"],"knob":"max_clusters","projected_economics":{"pricing_basis":"CONTINGENT_PENDING_REEVALUATION","running_savings_365d":{"aws":{"base":1934.64,"high":2989.9,"low":615.57},"dbu":{"base":-6769.65,"high":-651.24,"low":-14417.66},"total":{"base":-4835.01,"high":2338.66,"low":-13802.09}}},"recommended_value":3,"step":2,"step_type":"CANDIDATE","technique_id":"WH-MAX-CLUSTER-REDUCE-001","validation":{"action_after":null,"remeasure_days":null,"success_metrics":["p95_execution_ms","p99_execution_ms","failure_rate","queue_wait","dbu_cost","aws_cost"],"validation_type":"A_B_CANARY"}},{"action":null,"candidate_id":"CAND-C08CF1BBC9ECD83993F5BCE2","confidence":{"components":{"coverage":1.0,"epoch_maturity":1.0,"sample":1.0,"signal":1.0,"stability":0.91},"level":"HIGH","method":"deterministic_evidence_score","score":0.93},"current_value":60,"dependencies":[{"condition":null,"dependency_type":"KNOB","ref_id":"min_clusters"}],"execution_state":"PENDING_REEVALUATION","invalidates":[],"knob":"auto_stop_minutes","projected_economics":{"pricing_basis":"CONTINGENT_PENDING_REEVALUATION","running_savings_365d":{"aws":{"base":2409.51,"high":3623.05,"low":932.15},"dbu":{"base":-4016.37,"high":3019.8,"low":-12582.14},"total":{"base":-1606.86,"high":6642.85,"low":-11649.99}}},"recommended_value":30,"step":3,"step_type":"CANDIDATE","technique_id":"WH-AUTOSTOP-REDUC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4,"step_type":"REMEASURE","technique_id":null,"validation":{"action_after":"REGENERATE_RECOMMENDATIONS","remeasure_days":7,"success_metrics":[],"validation_type":"REMEASURE"}}]</t>
        </is>
      </c>
      <c r="AQ33" s="22" t="inlineStr">
        <is>
          <t>["CAND-20A04702FCD63664C07653A5","CAND-9ADFC70F5FC112A2499B5375","CAND-C08CF1BBC9ECD83993F5BCE2"]</t>
        </is>
      </c>
      <c r="AR33" s="22" t="inlineStr">
        <is>
          <t>[{"condition":null,"dependency_type":"KNOB","ref_id":"warehouse_channel"},{"condition":null,"dependency_type":"KNOB","ref_id":"warehouse_size"},{"condition":null,"dependency_type":"KNOB","ref_id":"min_clusters"}]</t>
        </is>
      </c>
      <c r="AS33" s="22" t="inlineStr">
        <is>
          <t>["auto_stop_minutes","max_clusters","min_clusters"]</t>
        </is>
      </c>
    </row>
    <row r="34" ht="24" customHeight="1">
      <c r="A34" s="14" t="inlineStr">
        <is>
          <t>PKG-8A3D702F2E106E66AE0DA92A</t>
        </is>
      </c>
      <c r="B34" s="14" t="inlineStr">
        <is>
          <t>SCN-D90F0090AC8A9492249F19B8</t>
        </is>
      </c>
      <c r="C34" s="14" t="inlineStr">
        <is>
          <t>2234567890123456</t>
        </is>
      </c>
      <c r="D34" s="14" t="inlineStr">
        <is>
          <t>wh-synth-012</t>
        </is>
      </c>
      <c r="E34" s="15" t="inlineStr">
        <is>
          <t>Supply Chain BI</t>
        </is>
      </c>
      <c r="F34" s="16" t="inlineStr">
        <is>
          <t>supply-chain@databricks.example</t>
        </is>
      </c>
      <c r="G34" s="15" t="inlineStr">
        <is>
          <t>Plan B — Serverless migration experiment</t>
        </is>
      </c>
      <c r="H34" s="16" t="inlineStr">
        <is>
          <t>WAREHOUSE_TYPE_MIGRATION</t>
        </is>
      </c>
      <c r="I34" s="18" t="inlineStr">
        <is>
          <t>ALTERNATIVE</t>
        </is>
      </c>
      <c r="J34" s="18" t="b">
        <v>0</v>
      </c>
      <c r="K34" s="21" t="n">
        <v>0.78</v>
      </c>
      <c r="L34" s="18" t="inlineStr">
        <is>
          <t>MEDIUM</t>
        </is>
      </c>
      <c r="M34" s="16" t="inlineStr">
        <is>
          <t>minimum_step_confidence</t>
        </is>
      </c>
      <c r="N34" s="18" t="inlineStr">
        <is>
          <t>REQUIRES_VALIDATION</t>
        </is>
      </c>
      <c r="O34" s="16" t="inlineStr">
        <is>
          <t>B_READ_ONLY_API</t>
        </is>
      </c>
      <c r="P34" s="16" t="inlineStr">
        <is>
          <t>USD</t>
        </is>
      </c>
      <c r="Q34" s="18" t="inlineStr">
        <is>
          <t>SAVINGS</t>
        </is>
      </c>
      <c r="R34" s="19" t="n">
        <v>33000</v>
      </c>
      <c r="S34" s="19" t="n">
        <v>8793.82</v>
      </c>
      <c r="T34" s="19" t="n">
        <v>41793.82</v>
      </c>
      <c r="U34" s="19" t="n">
        <v>6693.69</v>
      </c>
      <c r="V34" s="19" t="n">
        <v>13270.27</v>
      </c>
      <c r="W34" s="19" t="n">
        <v>19846.85</v>
      </c>
      <c r="X34" s="19" t="n">
        <v>8793.82</v>
      </c>
      <c r="Y34" s="19" t="n">
        <v>8793.82</v>
      </c>
      <c r="Z34" s="19" t="n">
        <v>8793.82</v>
      </c>
      <c r="AA34" s="19" t="n">
        <v>15487.51</v>
      </c>
      <c r="AB34" s="19" t="n">
        <v>22064.09</v>
      </c>
      <c r="AC34" s="19" t="n">
        <v>28640.67</v>
      </c>
      <c r="AD34" s="19" t="n">
        <v>13153.15</v>
      </c>
      <c r="AE34" s="19" t="n">
        <v>19729.73</v>
      </c>
      <c r="AF34" s="19" t="n">
        <v>26306.31</v>
      </c>
      <c r="AG34" s="16" t="inlineStr">
        <is>
          <t>PRE_CANARY_MODELED_RANGE</t>
        </is>
      </c>
      <c r="AH34" s="19" t="inlineStr">
        <is>
          <t>UNAVAILABLE</t>
        </is>
      </c>
      <c r="AI34" s="19" t="inlineStr">
        <is>
          <t>UNAVAILABLE</t>
        </is>
      </c>
      <c r="AJ34" s="19" t="inlineStr">
        <is>
          <t>UNAVAILABLE</t>
        </is>
      </c>
      <c r="AK34" s="16" t="inlineStr">
        <is>
          <t>Plan B — Serverless migration experiment | 1. VALIDATE_WAREHOUSE_TYPE_COMPATIBILITY [REQUIRED] | 2. warehouse_type PRO→SERVERLESS [READY_FOR_CANARY]; priced AUTHORITATIVE | 3. REMEASURE_AND_REGENERATE [REQUIRED]; remeasure 7d</t>
        </is>
      </c>
      <c r="AL34" s="18" t="b">
        <v>1</v>
      </c>
      <c r="AM34" s="17" t="n">
        <v>7</v>
      </c>
      <c r="AN34" s="22" t="inlineStr">
        <is>
          <t>[{"check":"aws_region_serverless_availability","details":"{\"policy\":\"Databricks documents Serverless SQL warehouse support across AWS regions.\",\"region\":\"us-east-1\"}","evidence_refs":["EVID-07A2D8FB5FCCD61519B96CC3"],"requires_hitl":false,"status":"PASS"},{"check":"workspace_serverless_observed","details":"false","evidence_refs":["EVID-86522A92DD2115BE645B0597"],"requires_hitl":true,"status":"UNKNOWN"},{"check":"workspace_serverless_enablement","details":"true","evidence_refs":["EVID-8749654928EDA932BF981D0D"],"requires_hitl":false,"status":"PASS"},{"check":"external_legacy_hive_metastore_workspace_setting","details":"{\"config_keys\":[],\"detected\":false}","evidence_refs":["EVID-44114512A244D39710D4F01E"],"requires_hitl":false,"status":"PASS"},{"check":"s3_access_policy_compatibility","details":"\"UNKNOWN\"","evidence_refs":["EVID-C6A2F9009A7F7A4E149AD155"],"requires_hitl":true,"status":"UNKNOWN"},{"check":"legacy_hive_metastore_sql_reference","details":"{\"reference_queries\":0,\"visible_pct\":100.0}","evidence_refs":["EVID-FB2B4A65C10DA970E465C7C5"],"requires_hitl":true,"status":"UNKNOWN"}]</t>
        </is>
      </c>
      <c r="AO34" s="22" t="inlineStr">
        <is>
          <t>[{"check":"workspace_serverless_observed","details":"false","evidence_refs":["EVID-86522A92DD2115BE645B0597"],"requires_hitl":true,"status":"UNKNOWN"},{"check":"s3_access_policy_compatibility","details":"\"UNKNOWN\"","evidence_refs":["EVID-C6A2F9009A7F7A4E149AD155"],"requires_hitl":true,"status":"UNKNOWN"},{"check":"legacy_hive_metastore_sql_reference","details":"{\"reference_queries\":0,\"visible_pct\":100.0}","evidence_refs":["EVID-FB2B4A65C10DA970E465C7C5"],"requires_hitl":true,"status":"UNKNOWN"}]</t>
        </is>
      </c>
      <c r="AP34" s="22" t="inlineStr">
        <is>
          <t>[{"action":"VALIDATE_WAREHOUSE_TYPE_COMPATIBILITY","candidate_id":null,"confidence":{"components":{},"level":"MEDIUM","method":"compatibility_and_scenario_evidence","score":0.78},"current_value":null,"dependencies":[],"execution_state":"REQUIRED","invalidates":[],"knob":null,"projected_economics":null,"recommended_value":null,"step":1,"step_type":"COMPATIBILITY_VALIDATION","technique_id":null,"validation":{"action_after":"CONTINUE_IF_PASS","remeasure_days":null,"success_metrics":[],"validation_type":"COMPATIBILITY"}},{"action":null,"candidate_id":"CAND-A33DFC4B60027DE5B92ED694","confidence":{"components":{"coverage":1.0,"epoch_maturity":1.0,"sample":1.0,"signal":1.0,"stability":0.91},"level":"MEDIUM","method":"deterministic_evidence_score","score":0.78},"current_value":"PRO","dependencies":[],"execution_state":"READY_FOR_CANARY","invalidates":["warehouse_size","max_clusters","min_clusters","auto_stop_minutes"],"knob":"warehouse_type","projected_economics":{"pricing_basis":"AUTHORITATIVE","running_savings_365d":{"aws":{"base":8793.82,"high":8793.82,"low":8793.82},"dbu":{"base":13270.27,"high":19846.85,"low":6693.69},"total":{"base":22064.09,"high":28640.67,"low":15487.51}}},"recommended_value":"SERVERLESS","step":2,"step_type":"CANDIDATE","technique_id":"WH-SERVERLESS-MIGRATE-001","validation":{"action_after":null,"remeasure_days":null,"success_metrics":["p95_execution_ms","p99_execution_ms","failure_rate","queue_wait","dbu_cost","aws_cost"],"validation_type":"A_B_CANARY"}},{"action":"REMEASURE_AND_REGENERATE","candidate_id":null,"confidence":{"components":{"policy_gate":1.0},"level":"HIGH","method":"policy_gate","score":1.0},"current_value":null,"dependencies":[],"execution_state":"REQUIRED","invalidates":[],"knob":null,"projected_economics":null,"recommended_value":null,"step":3,"step_type":"REMEASURE","technique_id":null,"validation":{"action_after":"REGENERATE_RECOMMENDATIONS","remeasure_days":7,"success_metrics":[],"validation_type":"REMEASURE"}}]</t>
        </is>
      </c>
      <c r="AQ34" s="22" t="inlineStr">
        <is>
          <t>["CAND-A33DFC4B60027DE5B92ED694"]</t>
        </is>
      </c>
      <c r="AR34" s="22" t="inlineStr">
        <is>
          <t>[]</t>
        </is>
      </c>
      <c r="AS34" s="22" t="inlineStr">
        <is>
          <t>["auto_stop_minutes","max_clusters","min_clusters","warehouse_size"]</t>
        </is>
      </c>
    </row>
  </sheetData>
  <mergeCells count="14">
    <mergeCell ref="N3:O3"/>
    <mergeCell ref="G3:J3"/>
    <mergeCell ref="P3:T3"/>
    <mergeCell ref="A1:AS1"/>
    <mergeCell ref="AD3:AG3"/>
    <mergeCell ref="AH3:AJ3"/>
    <mergeCell ref="AK3:AM3"/>
    <mergeCell ref="X3:Z3"/>
    <mergeCell ref="K3:M3"/>
    <mergeCell ref="A3:F3"/>
    <mergeCell ref="A2:AS2"/>
    <mergeCell ref="U3:W3"/>
    <mergeCell ref="AA3:AC3"/>
    <mergeCell ref="AN3:AS3"/>
  </mergeCells>
  <conditionalFormatting sqref="I5:I34">
    <cfRule type="expression" priority="1" dxfId="0">
      <formula>I5="ACTIONABLE"</formula>
    </cfRule>
    <cfRule type="expression" priority="2" dxfId="0">
      <formula>I5="RECOMMENDED"</formula>
    </cfRule>
    <cfRule type="expression" priority="3" dxfId="0">
      <formula>I5="HIGH"</formula>
    </cfRule>
    <cfRule type="expression" priority="4" dxfId="0">
      <formula>I5="SUFFICIENT"</formula>
    </cfRule>
    <cfRule type="expression" priority="5" dxfId="0">
      <formula>I5="PASS"</formula>
    </cfRule>
    <cfRule type="expression" priority="6" dxfId="0">
      <formula>I5="REALIZED"</formula>
    </cfRule>
    <cfRule type="expression" priority="7" dxfId="3">
      <formula>I5="TEST_REQUIRED"</formula>
    </cfRule>
    <cfRule type="expression" priority="8" dxfId="3">
      <formula>I5="REVIEW"</formula>
    </cfRule>
    <cfRule type="expression" priority="9" dxfId="3">
      <formula>I5="MEDIUM"</formula>
    </cfRule>
    <cfRule type="expression" priority="10" dxfId="3">
      <formula>I5="PARTIAL"</formula>
    </cfRule>
    <cfRule type="expression" priority="11" dxfId="3">
      <formula>I5="REQUIRES_VALIDATION"</formula>
    </cfRule>
    <cfRule type="expression" priority="12" dxfId="3">
      <formula>I5="VALIDATING"</formula>
    </cfRule>
    <cfRule type="expression" priority="13" dxfId="1">
      <formula>I5="BLOCKED"</formula>
    </cfRule>
    <cfRule type="expression" priority="14" dxfId="1">
      <formula>I5="LOW"</formula>
    </cfRule>
    <cfRule type="expression" priority="15" dxfId="1">
      <formula>I5="INSUFFICIENT_EVIDENCE"</formula>
    </cfRule>
    <cfRule type="expression" priority="16" dxfId="1">
      <formula>I5="FAILED_VALIDATION"</formula>
    </cfRule>
    <cfRule type="expression" priority="17" dxfId="1">
      <formula>I5="ROLLED_BACK"</formula>
    </cfRule>
    <cfRule type="expression" priority="18" dxfId="0">
      <formula>I5="SAVINGS"</formula>
    </cfRule>
    <cfRule type="expression" priority="19" dxfId="1">
      <formula>I5="COST_INCREASE"</formula>
    </cfRule>
    <cfRule type="expression" priority="20" dxfId="3">
      <formula>I5="MIXED"</formula>
    </cfRule>
    <cfRule type="expression" priority="21" dxfId="2">
      <formula>I5="NO_CHANGE"</formula>
    </cfRule>
    <cfRule type="expression" priority="22" dxfId="2">
      <formula>I5="NOT_APPLICABLE"</formula>
    </cfRule>
    <cfRule type="expression" priority="23" dxfId="4">
      <formula>I5="ALTERNATIVE"</formula>
    </cfRule>
    <cfRule type="expression" priority="24" dxfId="2">
      <formula>I5="UNAVAILABLE"</formula>
    </cfRule>
    <cfRule type="expression" priority="25" dxfId="2">
      <formula>I5="NOT_APPLIED"</formula>
    </cfRule>
    <cfRule type="expression" priority="26" dxfId="2">
      <formula>I5="UNKNOWN"</formula>
    </cfRule>
  </conditionalFormatting>
  <conditionalFormatting sqref="L5:L34">
    <cfRule type="expression" priority="27" dxfId="0">
      <formula>L5="ACTIONABLE"</formula>
    </cfRule>
    <cfRule type="expression" priority="28" dxfId="0">
      <formula>L5="RECOMMENDED"</formula>
    </cfRule>
    <cfRule type="expression" priority="29" dxfId="0">
      <formula>L5="HIGH"</formula>
    </cfRule>
    <cfRule type="expression" priority="30" dxfId="0">
      <formula>L5="SUFFICIENT"</formula>
    </cfRule>
    <cfRule type="expression" priority="31" dxfId="0">
      <formula>L5="PASS"</formula>
    </cfRule>
    <cfRule type="expression" priority="32" dxfId="0">
      <formula>L5="REALIZED"</formula>
    </cfRule>
    <cfRule type="expression" priority="33" dxfId="3">
      <formula>L5="TEST_REQUIRED"</formula>
    </cfRule>
    <cfRule type="expression" priority="34" dxfId="3">
      <formula>L5="REVIEW"</formula>
    </cfRule>
    <cfRule type="expression" priority="35" dxfId="3">
      <formula>L5="MEDIUM"</formula>
    </cfRule>
    <cfRule type="expression" priority="36" dxfId="3">
      <formula>L5="PARTIAL"</formula>
    </cfRule>
    <cfRule type="expression" priority="37" dxfId="3">
      <formula>L5="REQUIRES_VALIDATION"</formula>
    </cfRule>
    <cfRule type="expression" priority="38" dxfId="3">
      <formula>L5="VALIDATING"</formula>
    </cfRule>
    <cfRule type="expression" priority="39" dxfId="1">
      <formula>L5="BLOCKED"</formula>
    </cfRule>
    <cfRule type="expression" priority="40" dxfId="1">
      <formula>L5="LOW"</formula>
    </cfRule>
    <cfRule type="expression" priority="41" dxfId="1">
      <formula>L5="INSUFFICIENT_EVIDENCE"</formula>
    </cfRule>
    <cfRule type="expression" priority="42" dxfId="1">
      <formula>L5="FAILED_VALIDATION"</formula>
    </cfRule>
    <cfRule type="expression" priority="43" dxfId="1">
      <formula>L5="ROLLED_BACK"</formula>
    </cfRule>
    <cfRule type="expression" priority="44" dxfId="0">
      <formula>L5="SAVINGS"</formula>
    </cfRule>
    <cfRule type="expression" priority="45" dxfId="1">
      <formula>L5="COST_INCREASE"</formula>
    </cfRule>
    <cfRule type="expression" priority="46" dxfId="3">
      <formula>L5="MIXED"</formula>
    </cfRule>
    <cfRule type="expression" priority="47" dxfId="2">
      <formula>L5="NO_CHANGE"</formula>
    </cfRule>
    <cfRule type="expression" priority="48" dxfId="2">
      <formula>L5="NOT_APPLICABLE"</formula>
    </cfRule>
    <cfRule type="expression" priority="49" dxfId="4">
      <formula>L5="ALTERNATIVE"</formula>
    </cfRule>
    <cfRule type="expression" priority="50" dxfId="2">
      <formula>L5="UNAVAILABLE"</formula>
    </cfRule>
    <cfRule type="expression" priority="51" dxfId="2">
      <formula>L5="NOT_APPLIED"</formula>
    </cfRule>
    <cfRule type="expression" priority="52" dxfId="2">
      <formula>L5="UNKNOWN"</formula>
    </cfRule>
  </conditionalFormatting>
  <conditionalFormatting sqref="N5:N34">
    <cfRule type="expression" priority="53" dxfId="0">
      <formula>N5="ACTIONABLE"</formula>
    </cfRule>
    <cfRule type="expression" priority="54" dxfId="0">
      <formula>N5="RECOMMENDED"</formula>
    </cfRule>
    <cfRule type="expression" priority="55" dxfId="0">
      <formula>N5="HIGH"</formula>
    </cfRule>
    <cfRule type="expression" priority="56" dxfId="0">
      <formula>N5="SUFFICIENT"</formula>
    </cfRule>
    <cfRule type="expression" priority="57" dxfId="0">
      <formula>N5="PASS"</formula>
    </cfRule>
    <cfRule type="expression" priority="58" dxfId="0">
      <formula>N5="REALIZED"</formula>
    </cfRule>
    <cfRule type="expression" priority="59" dxfId="3">
      <formula>N5="TEST_REQUIRED"</formula>
    </cfRule>
    <cfRule type="expression" priority="60" dxfId="3">
      <formula>N5="REVIEW"</formula>
    </cfRule>
    <cfRule type="expression" priority="61" dxfId="3">
      <formula>N5="MEDIUM"</formula>
    </cfRule>
    <cfRule type="expression" priority="62" dxfId="3">
      <formula>N5="PARTIAL"</formula>
    </cfRule>
    <cfRule type="expression" priority="63" dxfId="3">
      <formula>N5="REQUIRES_VALIDATION"</formula>
    </cfRule>
    <cfRule type="expression" priority="64" dxfId="3">
      <formula>N5="VALIDATING"</formula>
    </cfRule>
    <cfRule type="expression" priority="65" dxfId="1">
      <formula>N5="BLOCKED"</formula>
    </cfRule>
    <cfRule type="expression" priority="66" dxfId="1">
      <formula>N5="LOW"</formula>
    </cfRule>
    <cfRule type="expression" priority="67" dxfId="1">
      <formula>N5="INSUFFICIENT_EVIDENCE"</formula>
    </cfRule>
    <cfRule type="expression" priority="68" dxfId="1">
      <formula>N5="FAILED_VALIDATION"</formula>
    </cfRule>
    <cfRule type="expression" priority="69" dxfId="1">
      <formula>N5="ROLLED_BACK"</formula>
    </cfRule>
    <cfRule type="expression" priority="70" dxfId="0">
      <formula>N5="SAVINGS"</formula>
    </cfRule>
    <cfRule type="expression" priority="71" dxfId="1">
      <formula>N5="COST_INCREASE"</formula>
    </cfRule>
    <cfRule type="expression" priority="72" dxfId="3">
      <formula>N5="MIXED"</formula>
    </cfRule>
    <cfRule type="expression" priority="73" dxfId="2">
      <formula>N5="NO_CHANGE"</formula>
    </cfRule>
    <cfRule type="expression" priority="74" dxfId="2">
      <formula>N5="NOT_APPLICABLE"</formula>
    </cfRule>
    <cfRule type="expression" priority="75" dxfId="4">
      <formula>N5="ALTERNATIVE"</formula>
    </cfRule>
    <cfRule type="expression" priority="76" dxfId="2">
      <formula>N5="UNAVAILABLE"</formula>
    </cfRule>
    <cfRule type="expression" priority="77" dxfId="2">
      <formula>N5="NOT_APPLIED"</formula>
    </cfRule>
    <cfRule type="expression" priority="78" dxfId="2">
      <formula>N5="UNKNOWN"</formula>
    </cfRule>
  </conditionalFormatting>
  <conditionalFormatting sqref="Q5:Q34">
    <cfRule type="expression" priority="79" dxfId="0">
      <formula>Q5="ACTIONABLE"</formula>
    </cfRule>
    <cfRule type="expression" priority="80" dxfId="0">
      <formula>Q5="RECOMMENDED"</formula>
    </cfRule>
    <cfRule type="expression" priority="81" dxfId="0">
      <formula>Q5="HIGH"</formula>
    </cfRule>
    <cfRule type="expression" priority="82" dxfId="0">
      <formula>Q5="SUFFICIENT"</formula>
    </cfRule>
    <cfRule type="expression" priority="83" dxfId="0">
      <formula>Q5="PASS"</formula>
    </cfRule>
    <cfRule type="expression" priority="84" dxfId="0">
      <formula>Q5="REALIZED"</formula>
    </cfRule>
    <cfRule type="expression" priority="85" dxfId="3">
      <formula>Q5="TEST_REQUIRED"</formula>
    </cfRule>
    <cfRule type="expression" priority="86" dxfId="3">
      <formula>Q5="REVIEW"</formula>
    </cfRule>
    <cfRule type="expression" priority="87" dxfId="3">
      <formula>Q5="MEDIUM"</formula>
    </cfRule>
    <cfRule type="expression" priority="88" dxfId="3">
      <formula>Q5="PARTIAL"</formula>
    </cfRule>
    <cfRule type="expression" priority="89" dxfId="3">
      <formula>Q5="REQUIRES_VALIDATION"</formula>
    </cfRule>
    <cfRule type="expression" priority="90" dxfId="3">
      <formula>Q5="VALIDATING"</formula>
    </cfRule>
    <cfRule type="expression" priority="91" dxfId="1">
      <formula>Q5="BLOCKED"</formula>
    </cfRule>
    <cfRule type="expression" priority="92" dxfId="1">
      <formula>Q5="LOW"</formula>
    </cfRule>
    <cfRule type="expression" priority="93" dxfId="1">
      <formula>Q5="INSUFFICIENT_EVIDENCE"</formula>
    </cfRule>
    <cfRule type="expression" priority="94" dxfId="1">
      <formula>Q5="FAILED_VALIDATION"</formula>
    </cfRule>
    <cfRule type="expression" priority="95" dxfId="1">
      <formula>Q5="ROLLED_BACK"</formula>
    </cfRule>
    <cfRule type="expression" priority="96" dxfId="0">
      <formula>Q5="SAVINGS"</formula>
    </cfRule>
    <cfRule type="expression" priority="97" dxfId="1">
      <formula>Q5="COST_INCREASE"</formula>
    </cfRule>
    <cfRule type="expression" priority="98" dxfId="3">
      <formula>Q5="MIXED"</formula>
    </cfRule>
    <cfRule type="expression" priority="99" dxfId="2">
      <formula>Q5="NO_CHANGE"</formula>
    </cfRule>
    <cfRule type="expression" priority="100" dxfId="2">
      <formula>Q5="NOT_APPLICABLE"</formula>
    </cfRule>
    <cfRule type="expression" priority="101" dxfId="4">
      <formula>Q5="ALTERNATIVE"</formula>
    </cfRule>
    <cfRule type="expression" priority="102" dxfId="2">
      <formula>Q5="UNAVAILABLE"</formula>
    </cfRule>
    <cfRule type="expression" priority="103" dxfId="2">
      <formula>Q5="NOT_APPLIED"</formula>
    </cfRule>
    <cfRule type="expression" priority="104" dxfId="2">
      <formula>Q5="UNKNOWN"</formula>
    </cfRule>
  </conditionalFormatting>
  <conditionalFormatting sqref="J5:J34">
    <cfRule type="expression" priority="105" dxfId="0">
      <formula>J5=TRUE</formula>
    </cfRule>
  </conditionalFormatting>
  <conditionalFormatting sqref="AL5:AL34">
    <cfRule type="expression" priority="106" dxfId="3">
      <formula>AL5=TRUE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9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7" customWidth="1" min="3" max="3"/>
    <col width="17" customWidth="1" min="4" max="4"/>
    <col width="16" customWidth="1" min="5" max="5"/>
    <col width="22" customWidth="1" min="6" max="6"/>
    <col width="24" customWidth="1" min="7" max="7"/>
    <col width="23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  <col width="11" customWidth="1" min="15" max="15"/>
    <col width="11" customWidth="1" min="16" max="16"/>
    <col width="11" customWidth="1" min="17" max="17"/>
    <col width="9" customWidth="1" min="18" max="18"/>
    <col width="16" customWidth="1" min="19" max="19"/>
    <col width="14" customWidth="1" min="20" max="20"/>
    <col width="14" customWidth="1" min="21" max="21"/>
    <col width="14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4" customWidth="1" min="32" max="32"/>
    <col width="14" customWidth="1" min="33" max="33"/>
    <col width="14" customWidth="1" min="34" max="34"/>
    <col width="10" customWidth="1" min="35" max="35"/>
    <col width="14" customWidth="1" min="36" max="36"/>
    <col width="20" customWidth="1" min="37" max="37"/>
    <col width="15" customWidth="1" min="38" max="38"/>
    <col width="16" customWidth="1" min="39" max="39"/>
    <col width="16" customWidth="1" min="40" max="40"/>
    <col width="17" customWidth="1" min="41" max="41"/>
    <col width="17" customWidth="1" min="42" max="42"/>
    <col width="11" customWidth="1" min="43" max="43"/>
    <col width="32" customWidth="1" min="44" max="44"/>
    <col width="22" customWidth="1" min="45" max="45"/>
    <col width="20" customWidth="1" min="46" max="46"/>
    <col width="24" customWidth="1" min="47" max="47"/>
    <col width="22" customWidth="1" min="48" max="48"/>
    <col width="20" customWidth="1" min="49" max="49"/>
    <col width="20" customWidth="1" min="50" max="50"/>
    <col width="20" customWidth="1" min="51" max="51"/>
    <col width="22" customWidth="1" min="52" max="52"/>
    <col width="22" customWidth="1" min="53" max="53"/>
  </cols>
  <sheetData>
    <row r="1" ht="28" customHeight="1">
      <c r="A1" s="1" t="inlineStr">
        <is>
          <t>Recommendation Registry</t>
        </is>
      </c>
    </row>
    <row r="2" ht="24" customHeight="1">
      <c r="A2" s="2" t="inlineStr">
        <is>
          <t>One row per candidate. Decision, economics, realization and audit evidence align to Workbook Contract v1.2.0.</t>
        </is>
      </c>
    </row>
    <row r="3" ht="20" customHeight="1">
      <c r="A3" s="11" t="inlineStr">
        <is>
          <t>Identity</t>
        </is>
      </c>
      <c r="I3" s="12" t="inlineStr">
        <is>
          <t>Decision</t>
        </is>
      </c>
      <c r="O3" s="11" t="inlineStr">
        <is>
          <t>Confidence</t>
        </is>
      </c>
      <c r="Q3" s="12" t="inlineStr">
        <is>
          <t>Independent economics</t>
        </is>
      </c>
      <c r="AJ3" s="11" t="inlineStr">
        <is>
          <t>Realization</t>
        </is>
      </c>
      <c r="AR3" s="12" t="inlineStr">
        <is>
          <t>Evidence / audit</t>
        </is>
      </c>
    </row>
    <row r="4" ht="34" customHeight="1">
      <c r="A4" s="13" t="inlineStr">
        <is>
          <t>Package ID</t>
        </is>
      </c>
      <c r="B4" s="13" t="inlineStr">
        <is>
          <t>Candidate ID</t>
        </is>
      </c>
      <c r="C4" s="13" t="inlineStr">
        <is>
          <t>Technique ID</t>
        </is>
      </c>
      <c r="D4" s="13" t="inlineStr">
        <is>
          <t>Workspace ID</t>
        </is>
      </c>
      <c r="E4" s="13" t="inlineStr">
        <is>
          <t>Warehouse ID</t>
        </is>
      </c>
      <c r="F4" s="13" t="inlineStr">
        <is>
          <t>Warehouse</t>
        </is>
      </c>
      <c r="G4" s="13" t="inlineStr">
        <is>
          <t>Owner</t>
        </is>
      </c>
      <c r="H4" s="13" t="inlineStr">
        <is>
          <t>Epoch ID</t>
        </is>
      </c>
      <c r="I4" s="13" t="inlineStr">
        <is>
          <t>Knob</t>
        </is>
      </c>
      <c r="J4" s="13" t="inlineStr">
        <is>
          <t>Status</t>
        </is>
      </c>
      <c r="K4" s="13" t="inlineStr">
        <is>
          <t>Objective</t>
        </is>
      </c>
      <c r="L4" s="13" t="inlineStr">
        <is>
          <t>Current</t>
        </is>
      </c>
      <c r="M4" s="13" t="inlineStr">
        <is>
          <t>Recommended</t>
        </is>
      </c>
      <c r="N4" s="13" t="inlineStr">
        <is>
          <t>Rationale</t>
        </is>
      </c>
      <c r="O4" s="13" t="inlineStr">
        <is>
          <t>Conf. score</t>
        </is>
      </c>
      <c r="P4" s="13" t="inlineStr">
        <is>
          <t>Confidence</t>
        </is>
      </c>
      <c r="Q4" s="13" t="inlineStr">
        <is>
          <t>Economics?</t>
        </is>
      </c>
      <c r="R4" s="13" t="inlineStr">
        <is>
          <t>Currency</t>
        </is>
      </c>
      <c r="S4" s="13" t="inlineStr">
        <is>
          <t>Base impact type</t>
        </is>
      </c>
      <c r="T4" s="13" t="inlineStr">
        <is>
          <t>Baseline DBU</t>
        </is>
      </c>
      <c r="U4" s="13" t="inlineStr">
        <is>
          <t>Baseline AWS</t>
        </is>
      </c>
      <c r="V4" s="13" t="inlineStr">
        <is>
          <t>Baseline total</t>
        </is>
      </c>
      <c r="W4" s="13" t="inlineStr">
        <is>
          <t>DBU low impact</t>
        </is>
      </c>
      <c r="X4" s="13" t="inlineStr">
        <is>
          <t>DBU base impact</t>
        </is>
      </c>
      <c r="Y4" s="13" t="inlineStr">
        <is>
          <t>DBU high impact</t>
        </is>
      </c>
      <c r="Z4" s="13" t="inlineStr">
        <is>
          <t>AWS low impact</t>
        </is>
      </c>
      <c r="AA4" s="13" t="inlineStr">
        <is>
          <t>AWS base impact</t>
        </is>
      </c>
      <c r="AB4" s="13" t="inlineStr">
        <is>
          <t>AWS high impact</t>
        </is>
      </c>
      <c r="AC4" s="13" t="inlineStr">
        <is>
          <t>Total low impact</t>
        </is>
      </c>
      <c r="AD4" s="13" t="inlineStr">
        <is>
          <t>Total base impact</t>
        </is>
      </c>
      <c r="AE4" s="13" t="inlineStr">
        <is>
          <t>Total high impact</t>
        </is>
      </c>
      <c r="AF4" s="13" t="inlineStr">
        <is>
          <t>Est. cost low</t>
        </is>
      </c>
      <c r="AG4" s="13" t="inlineStr">
        <is>
          <t>Est. cost base</t>
        </is>
      </c>
      <c r="AH4" s="13" t="inlineStr">
        <is>
          <t>Est. cost high</t>
        </is>
      </c>
      <c r="AI4" s="13" t="inlineStr">
        <is>
          <t>Additive?</t>
        </is>
      </c>
      <c r="AJ4" s="13" t="inlineStr">
        <is>
          <t>Realization</t>
        </is>
      </c>
      <c r="AK4" s="13" t="inlineStr">
        <is>
          <t>Applied at</t>
        </is>
      </c>
      <c r="AL4" s="13" t="inlineStr">
        <is>
          <t>Validation</t>
        </is>
      </c>
      <c r="AM4" s="13" t="inlineStr">
        <is>
          <t>Realized DBU impact</t>
        </is>
      </c>
      <c r="AN4" s="13" t="inlineStr">
        <is>
          <t>Realized AWS impact</t>
        </is>
      </c>
      <c r="AO4" s="13" t="inlineStr">
        <is>
          <t>Realized total impact</t>
        </is>
      </c>
      <c r="AP4" s="13" t="inlineStr">
        <is>
          <t>Annualized realized</t>
        </is>
      </c>
      <c r="AQ4" s="13" t="inlineStr">
        <is>
          <t>Rollback?</t>
        </is>
      </c>
      <c r="AR4" s="13" t="inlineStr">
        <is>
          <t>Decision rule</t>
        </is>
      </c>
      <c r="AS4" s="13" t="inlineStr">
        <is>
          <t>Confidence components</t>
        </is>
      </c>
      <c r="AT4" s="13" t="inlineStr">
        <is>
          <t>Evidence refs</t>
        </is>
      </c>
      <c r="AU4" s="13" t="inlineStr">
        <is>
          <t>Evidence / findings</t>
        </is>
      </c>
      <c r="AV4" s="13" t="inlineStr">
        <is>
          <t>Thresholds</t>
        </is>
      </c>
      <c r="AW4" s="13" t="inlineStr">
        <is>
          <t>Dependencies</t>
        </is>
      </c>
      <c r="AX4" s="13" t="inlineStr">
        <is>
          <t>Invalidates</t>
        </is>
      </c>
      <c r="AY4" s="13" t="inlineStr">
        <is>
          <t>Blockers</t>
        </is>
      </c>
      <c r="AZ4" s="13" t="inlineStr">
        <is>
          <t>Scenario membership</t>
        </is>
      </c>
      <c r="BA4" s="13" t="inlineStr">
        <is>
          <t>Realization JSON</t>
        </is>
      </c>
    </row>
    <row r="5" ht="32" customHeight="1">
      <c r="A5" s="14" t="inlineStr">
        <is>
          <t>PKG-CAA063CBB4924A9B7B8E4514</t>
        </is>
      </c>
      <c r="B5" s="14" t="inlineStr">
        <is>
          <t>CAND-7228133F8C9DCD58D5450164</t>
        </is>
      </c>
      <c r="C5" s="14" t="inlineStr">
        <is>
          <t>WH-CHANNEL-CURRENT-001</t>
        </is>
      </c>
      <c r="D5" s="14" t="inlineStr">
        <is>
          <t>1234567890123456</t>
        </is>
      </c>
      <c r="E5" s="14" t="inlineStr">
        <is>
          <t>wh-synth-001</t>
        </is>
      </c>
      <c r="F5" s="15" t="inlineStr">
        <is>
          <t>BI - Sales</t>
        </is>
      </c>
      <c r="G5" s="16" t="inlineStr">
        <is>
          <t>sales-bi@databricks.example</t>
        </is>
      </c>
      <c r="H5" s="14" t="inlineStr">
        <is>
          <t>EPOCH-1E860B90A87FD2D57B2BF76D</t>
        </is>
      </c>
      <c r="I5" s="18" t="inlineStr">
        <is>
          <t>warehouse_channel</t>
        </is>
      </c>
      <c r="J5" s="18" t="inlineStr">
        <is>
          <t>NO_CHANGE</t>
        </is>
      </c>
      <c r="K5" s="15" t="inlineStr">
        <is>
          <t>STABILITY</t>
        </is>
      </c>
      <c r="L5" s="15" t="inlineStr">
        <is>
          <t>CURRENT</t>
        </is>
      </c>
      <c r="M5" s="15" t="inlineStr">
        <is>
          <t>CURRENT</t>
        </is>
      </c>
      <c r="N5" s="15" t="inlineStr">
        <is>
          <t>No channel change indicated.</t>
        </is>
      </c>
      <c r="O5" s="21" t="n">
        <v>0.8</v>
      </c>
      <c r="P5" s="18" t="inlineStr">
        <is>
          <t>HIGH</t>
        </is>
      </c>
      <c r="Q5" s="18" t="b">
        <v>1</v>
      </c>
      <c r="R5" s="16" t="inlineStr">
        <is>
          <t>USD</t>
        </is>
      </c>
      <c r="S5" s="18" t="inlineStr">
        <is>
          <t>NO_CHANGE</t>
        </is>
      </c>
      <c r="T5" s="19" t="n">
        <v>27000</v>
      </c>
      <c r="U5" s="19" t="n">
        <v>11725.1</v>
      </c>
      <c r="V5" s="19" t="n">
        <v>38725.1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0</v>
      </c>
      <c r="AC5" s="19" t="n">
        <v>0</v>
      </c>
      <c r="AD5" s="19" t="n">
        <v>0</v>
      </c>
      <c r="AE5" s="19" t="n">
        <v>0</v>
      </c>
      <c r="AF5" s="19" t="n">
        <v>38725.1</v>
      </c>
      <c r="AG5" s="19" t="n">
        <v>38725.1</v>
      </c>
      <c r="AH5" s="19" t="n">
        <v>38725.1</v>
      </c>
      <c r="AI5" s="18" t="b">
        <v>0</v>
      </c>
      <c r="AJ5" s="18" t="inlineStr">
        <is>
          <t>NOT_APPLIED</t>
        </is>
      </c>
      <c r="AK5" s="16" t="inlineStr">
        <is>
          <t>—</t>
        </is>
      </c>
      <c r="AL5" s="18" t="inlineStr">
        <is>
          <t>—</t>
        </is>
      </c>
      <c r="AM5" s="19" t="inlineStr">
        <is>
          <t>UNAVAILABLE</t>
        </is>
      </c>
      <c r="AN5" s="19" t="inlineStr">
        <is>
          <t>UNAVAILABLE</t>
        </is>
      </c>
      <c r="AO5" s="19" t="inlineStr">
        <is>
          <t>UNAVAILABLE</t>
        </is>
      </c>
      <c r="AP5" s="19" t="inlineStr">
        <is>
          <t>UNAVAILABLE</t>
        </is>
      </c>
      <c r="AQ5" s="18" t="inlineStr">
        <is>
          <t>—</t>
        </is>
      </c>
      <c r="AR5" s="15" t="inlineStr">
        <is>
          <t>No numeric threshold</t>
        </is>
      </c>
      <c r="AS5" s="22" t="inlineStr">
        <is>
          <t>{"coverage":1.0,"epoch_maturity":1.0,"sample":1.0,"signal":0.7,"stability":0.91}</t>
        </is>
      </c>
      <c r="AT5" s="22" t="inlineStr">
        <is>
          <t>["EVID-CD8BAC81B5726CC8B4111349","EVID-816032E26FD5D0505D12B7B5","EVID-671AEFC2D527CBB61D748323","EVID-37B58153FD21C4097D6839AF","EVID-8FDC7E9818FEE739EB1C3E96"]</t>
        </is>
      </c>
      <c r="AU5" s="22" t="inlineStr">
        <is>
          <t>{"EVID-37B58153FD21C4097D6839AF":{"comparator":"","epoch_scope":"CURRENT","evidence_id":"EVID-37B58153FD21C4097D6839AF","interpretation":"Forward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-671AEFC2D527CBB61D748323":{"comparator":"","epoch_scope":"CURRENT","evidence_id":"EVID-671AEFC2D527CBB61D748323","interpretation":"No-change forward DBU cost forecast anchored to the current configuration epoch.","metric":"forward_dbu_cost_365d","observation_window":"forward_365d","source":"derived","source_field":"epoch-runrate-v2.7","threshold":null,"unit":"USD","value":27000.0},"EVID-816032E26FD5D0505D12B7B5":{"comparator":"","epoch_scope":"CURRENT","evidence_id":"EVID-816032E26FD5D0505D12B7B5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price","threshold":null,"unit":"USD","value":23760.0},"EVID-8FDC7E9818FEE739EB1C3E96":{"comparator":"","epoch_scope":"CURRENT","evidence_id":"EVID-8FDC7E9818FEE739EB1C3E96","interpretation":"Calendar-day coverage available to the forward cost model.","metric":"cost_history_days","observation_window":"current_epoch","source":"system.billing.usage","source_field":"usage_date","threshold":null,"unit":"days","value":259},"EVID-CD8BAC81B5726CC8B4111349":{"comparator":"","epoch_scope":"CURRENT","evidence_id":"EVID-CD8BAC81B5726CC8B4111349","interpretation":"Current release channel from the current configuration epoch.","metric":"warehouse_channel","observation_window":"current epoch","source":"system.compute.warehouses","source_field":"warehouse_channel","threshold":null,"unit":"value","value":"CURRENT"}}</t>
        </is>
      </c>
      <c r="AV5" s="22" t="inlineStr">
        <is>
          <t>[]</t>
        </is>
      </c>
      <c r="AW5" s="22" t="inlineStr">
        <is>
          <t>[]</t>
        </is>
      </c>
      <c r="AX5" s="22" t="inlineStr">
        <is>
          <t>[]</t>
        </is>
      </c>
      <c r="AY5" s="22" t="inlineStr">
        <is>
          <t>[]</t>
        </is>
      </c>
      <c r="AZ5" s="22" t="inlineStr">
        <is>
          <t>[]</t>
        </is>
      </c>
      <c r="BA5" s="22" t="inlineStr">
        <is>
          <t>[]</t>
        </is>
      </c>
    </row>
    <row r="6" ht="32" customHeight="1">
      <c r="A6" s="14" t="inlineStr">
        <is>
          <t>PKG-CAA063CBB4924A9B7B8E4514</t>
        </is>
      </c>
      <c r="B6" s="14" t="inlineStr">
        <is>
          <t>CAND-CDC9DD7E27E8CA6ED23E9CEB</t>
        </is>
      </c>
      <c r="C6" s="14" t="inlineStr">
        <is>
          <t>WH-SIZE-DOWNSIZE-001</t>
        </is>
      </c>
      <c r="D6" s="14" t="inlineStr">
        <is>
          <t>1234567890123456</t>
        </is>
      </c>
      <c r="E6" s="14" t="inlineStr">
        <is>
          <t>wh-synth-001</t>
        </is>
      </c>
      <c r="F6" s="15" t="inlineStr">
        <is>
          <t>BI - Sales</t>
        </is>
      </c>
      <c r="G6" s="16" t="inlineStr">
        <is>
          <t>sales-bi@databricks.example</t>
        </is>
      </c>
      <c r="H6" s="14" t="inlineStr">
        <is>
          <t>EPOCH-1E860B90A87FD2D57B2BF76D</t>
        </is>
      </c>
      <c r="I6" s="18" t="inlineStr">
        <is>
          <t>warehouse_size</t>
        </is>
      </c>
      <c r="J6" s="18" t="inlineStr">
        <is>
          <t>TEST_REQUIRED</t>
        </is>
      </c>
      <c r="K6" s="15" t="inlineStr">
        <is>
          <t>COST</t>
        </is>
      </c>
      <c r="L6" s="15" t="inlineStr">
        <is>
          <t>LARGE</t>
        </is>
      </c>
      <c r="M6" s="15" t="inlineStr">
        <is>
          <t>MEDIUM</t>
        </is>
      </c>
      <c r="N6" s="15" t="inlineStr">
        <is>
          <t>Low spill, queueing, and latency make one-size down a controlled canary candidate; absence of pressure is not proof of SLA safety.</t>
        </is>
      </c>
      <c r="O6" s="21" t="n">
        <v>0.78</v>
      </c>
      <c r="P6" s="18" t="inlineStr">
        <is>
          <t>MEDIUM</t>
        </is>
      </c>
      <c r="Q6" s="18" t="b">
        <v>1</v>
      </c>
      <c r="R6" s="16" t="inlineStr">
        <is>
          <t>USD</t>
        </is>
      </c>
      <c r="S6" s="18" t="inlineStr">
        <is>
          <t>SAVINGS</t>
        </is>
      </c>
      <c r="T6" s="19" t="n">
        <v>27000</v>
      </c>
      <c r="U6" s="19" t="n">
        <v>11725.1</v>
      </c>
      <c r="V6" s="19" t="n">
        <v>38725.1</v>
      </c>
      <c r="W6" s="19" t="n">
        <v>-6517.24</v>
      </c>
      <c r="X6" s="19" t="n">
        <v>3537.93</v>
      </c>
      <c r="Y6" s="19" t="n">
        <v>10241.38</v>
      </c>
      <c r="Z6" s="19" t="n">
        <v>4690.04</v>
      </c>
      <c r="AA6" s="19" t="n">
        <v>6800.56</v>
      </c>
      <c r="AB6" s="19" t="n">
        <v>8207.57</v>
      </c>
      <c r="AC6" s="19" t="n">
        <v>-1827.2</v>
      </c>
      <c r="AD6" s="19" t="n">
        <v>10338.49</v>
      </c>
      <c r="AE6" s="19" t="n">
        <v>18448.95</v>
      </c>
      <c r="AF6" s="19" t="n">
        <v>20276.15</v>
      </c>
      <c r="AG6" s="19" t="n">
        <v>28386.61</v>
      </c>
      <c r="AH6" s="19" t="n">
        <v>40552.3</v>
      </c>
      <c r="AI6" s="18" t="b">
        <v>0</v>
      </c>
      <c r="AJ6" s="18" t="inlineStr">
        <is>
          <t>NOT_APPLIED</t>
        </is>
      </c>
      <c r="AK6" s="16" t="inlineStr">
        <is>
          <t>—</t>
        </is>
      </c>
      <c r="AL6" s="18" t="inlineStr">
        <is>
          <t>—</t>
        </is>
      </c>
      <c r="AM6" s="19" t="inlineStr">
        <is>
          <t>UNAVAILABLE</t>
        </is>
      </c>
      <c r="AN6" s="19" t="inlineStr">
        <is>
          <t>UNAVAILABLE</t>
        </is>
      </c>
      <c r="AO6" s="19" t="inlineStr">
        <is>
          <t>UNAVAILABLE</t>
        </is>
      </c>
      <c r="AP6" s="19" t="inlineStr">
        <is>
          <t>UNAVAILABLE</t>
        </is>
      </c>
      <c r="AQ6" s="18" t="inlineStr">
        <is>
          <t>—</t>
        </is>
      </c>
      <c r="AR6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6" s="22" t="inlineStr">
        <is>
          <t>{"coverage":1.0,"epoch_maturity":1.0,"sample":1.0,"signal":1.0,"stability":0.91}</t>
        </is>
      </c>
      <c r="AT6" s="22" t="inlineStr">
        <is>
          <t>["EVID-832712B10A432503BA1E0ADE","EVID-A8636AD7291DF641B4479F73","EVID-B2362D5F32380977A933F401","EVID-FDBFFBC774D23EA471B31E96","EVID-4D3C96F560A56E7EC4E79822","EVID-6EA74D3474DEBD48A2D18AA3","EVID-A86EAA13EE5082AEC4DF0A44","EVID-844D3CCD8E1426B8521EC841","EVID-816032E26FD5D0505D12B7B5","EVID-671AEFC2D527CBB61D748323","EVID-37B58153FD21C4097D6839AF","EVID-8FDC7E9818FEE739EB1C3E96"]</t>
        </is>
      </c>
      <c r="AU6" s="22" t="inlineStr">
        <is>
          <t>{"EVID-37B58153FD21C4097D6839AF":{"comparator":"","epoch_scope":"CURRENT","evidence_id":"EVID-37B58153FD21C4097D6839AF","interpretation":"Forward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unavailable.","metric":"forward_aws_cost_365d","observation_window":"forward_365d","source":"derived","source_field":"aws_current_epoch_cost_model","threshold":null,"unit":"USD","value":11725.1},"EVID-4D3C96F560A56E7EC4E79822":{"comparator":"&lt;= downsize-safe","epoch_scope":"CURRENT","evidence_id":"EVID-4D3C96F560A56E7EC4E79822","interpretation":"Concurrency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epoch","source":"system.query.history","source_field":"waiting_at_capacity_duration_ms","threshold":0.5,"unit":"%","value":0.0},"EVID-671AEFC2D527CBB61D748323":{"comparator":"","epoch_scope":"CURRENT","evidence_id":"EVID-671AEFC2D527CBB61D748323","interpretation":"No-change forward DBU cost forecast anchored to the current configuration epoch.","metric":"forward_dbu_cost_365d","observation_window":"forward_365d","source":"derived","source_field":"epoch-runrate-v2.7","threshold":null,"unit":"USD","value":27000.0},"EVID-6EA74D3474DEBD48A2D18AA3":{"comparator":"&lt;= downsize-safe","epoch_scope":"CURRENT","evidence_id":"EVID-6EA74D3474DEBD48A2D18AA3","interpretation":"Tail execution latency guardrail.","metric":"p95_execution_ms_30","observation_window":"last 30 days within current epoch","source":"system.query.history","source_field":"execution_duration_ms","threshold":5000,"unit":"ms","value":2500},"EVID-816032E26FD5D0505D12B7B5":{"comparator":"","epoch_scope":"CURRENT","evidence_id":"EVID-816032E26FD5D0505D12B7B5","interpretation":"Observed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price","threshold":null,"unit":"USD","value":23760.0},"EVID-832712B10A432503BA1E0ADE":{"comparator":"","epoch_scope":"CURRENT","evidence_id":"EVID-832712B10A432503BA1E0ADE","interpretation":"Current warehouse size.","metric":"warehouse_size","observation_window":"current epoch","source":"system.compute.warehouses","source_field":"warehouse_size","threshold":null,"unit":"value","value":"LARGE"},"EVID-844D3CCD8E1426B8521EC841":{"comparator":"","epoch_scope":"CURRENT","evidence_id":"EVID-844D3CCD8E1426B8521EC841","interpretation":"I/O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epoch","source":"system.query.history","source_field":"read_io_cache_percent","threshold":null,"unit":"%","value":35.0},"EVID-8FDC7E9818FEE739EB1C3E96":{"comparator":"","epoch_scope":"CURRENT","evidence_id":"EVID-8FDC7E9818FEE739EB1C3E96","interpretation":"Calendar-day coverage available to the forward cost model.","metric":"cost_history_days","observation_window":"current_epoch","source":"system.billing.usage","source_field":"usage_date","threshold":null,"unit":"days","value":259},"EVID-A8636AD7291DF641B4479F73":{"comparator":"&gt;= upsize signal","epoch_scope":"CURRENT","evidence_id":"EVID-A8636AD7291DF641B4479F73","interpretation":"Frequency of queries spilling to local storage.","metric":"spill_query_pct_30","observation_window":"last 30 days within current epoch","source":"system.query.history","source_field":"spilled_local_bytes","threshold":2.0,"unit":"%","value":0.0},"EVID-A86EAA13EE5082AEC4DF0A44":{"comparator":"&lt;= downsize-safe","epoch_scope":"CURRENT","evidence_id":"EVID-A86EAA13EE5082AEC4DF0A44","interpretation":"Extreme tail execution latency guardrail.","metric":"p99_execution_ms_30","observation_window":"last 30 days within current epoch","source":"system.query.history","source_field":"execution_duration_ms","threshold":30000,"unit":"ms","value":10000},"EVID-B2362D5F32380977A933F401":{"comparator":"&gt;= evidence minimum for upsize","epoch_scope":"CURRENT","evidence_id":"EVID-B2362D5F32380977A933F401","interpretation":"Queries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epoch","source":"system.query.history","source_field":"spilled_local_bytes","threshold":20,"unit":"queries","value":0},"EVID-FDBFFBC774D23EA471B31E96":{"comparator":"&gt;= upsize signal","epoch_scope":"CURRENT","evidence_id":"EVID-FDBFFBC774D23EA471B31E96","interpretation":"Severity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epoch","source":"system.query.history","source_field":"spilled_local_bytes","threshold":1073741824,"unit":"bytes","value":0}}</t>
        </is>
      </c>
      <c r="AV6" s="22" t="inlineStr">
        <is>
          <t>[{"comparator":"&gt;= upsize signal","evidence_id":"EVID-A8636AD7291DF641B4479F73","metric":"spill_query_pct_30","threshold":2.0},{"comparator":"&gt;= evidence minimum for upsize","evidence_id":"EVID-B2362D5F32380977A933F401","metric":"spill_queries_30","threshold":20},{"comparator":"&gt;= upsize signal","evidence_id":"EVID-FDBFFBC774D23EA471B31E96","metric":"p95_spill_bytes_when_spilled_30","threshold":1073741824},{"comparator":"&lt;= downsize-safe","evidence_id":"EVID-4D3C96F560A56E7EC4E79822","metric":"queued_query_pct_30","threshold":0.5},{"comparator":"&lt;= downsize-safe","evidence_id":"EVID-6EA74D3474DEBD48A2D18AA3","metric":"p95_execution_ms_30","threshold":5000},{"comparator":"&lt;= downsize-safe","evidence_id":"EVID-A86EAA13EE5082AEC4DF0A44","metric":"p99_execution_ms_30","threshold":30000}]</t>
        </is>
      </c>
      <c r="AW6" s="22" t="inlineStr">
        <is>
          <t>[{"condition":null,"dependency_type":"KNOB","ref_id":"warehouse_channel"}]</t>
        </is>
      </c>
      <c r="AX6" s="22" t="inlineStr">
        <is>
          <t>["max_clusters","min_clusters","auto_stop_minutes"]</t>
        </is>
      </c>
      <c r="AY6" s="22" t="inlineStr">
        <is>
          <t>["A_B_PERFORMANCE_VALIDATION_REQUIRED"]</t>
        </is>
      </c>
      <c r="AZ6" s="22" t="inlineStr">
        <is>
          <t>[{"execution_state":"READY_FOR_CANARY","scenario_id":"SCN-F6C96142718566E6610757F4","scenario_name":"Plan A — Optimize current warehouse type","step":1}]</t>
        </is>
      </c>
      <c r="BA6" s="22" t="inlineStr">
        <is>
          <t>[]</t>
        </is>
      </c>
    </row>
    <row r="7" ht="32" customHeight="1">
      <c r="A7" s="14" t="inlineStr">
        <is>
          <t>PKG-CAA063CBB4924A9B7B8E4514</t>
        </is>
      </c>
      <c r="B7" s="14" t="inlineStr">
        <is>
          <t>CAND-4CD23256DB0CA20822638058</t>
        </is>
      </c>
      <c r="C7" s="14" t="inlineStr">
        <is>
          <t>WH-MAX-CLUSTER-REDUCE-001</t>
        </is>
      </c>
      <c r="D7" s="14" t="inlineStr">
        <is>
          <t>1234567890123456</t>
        </is>
      </c>
      <c r="E7" s="14" t="inlineStr">
        <is>
          <t>wh-synth-001</t>
        </is>
      </c>
      <c r="F7" s="15" t="inlineStr">
        <is>
          <t>BI - Sales</t>
        </is>
      </c>
      <c r="G7" s="16" t="inlineStr">
        <is>
          <t>sales-bi@databricks.example</t>
        </is>
      </c>
      <c r="H7" s="14" t="inlineStr">
        <is>
          <t>EPOCH-1E860B90A87FD2D57B2BF76D</t>
        </is>
      </c>
      <c r="I7" s="18" t="inlineStr">
        <is>
          <t>max_clusters</t>
        </is>
      </c>
      <c r="J7" s="18" t="inlineStr">
        <is>
          <t>ACTIONABLE</t>
        </is>
      </c>
      <c r="K7" s="15" t="inlineStr">
        <is>
          <t>COST_GUARDRAIL</t>
        </is>
      </c>
      <c r="L7" s="15" t="n">
        <v>4</v>
      </c>
      <c r="M7" s="15" t="n">
        <v>3</v>
      </c>
      <c r="N7" s="15" t="inlineStr">
        <is>
          <t>The configured ceiling has not been used and queue pressure is low; tighten the guardrail without claiming direct savings.</t>
        </is>
      </c>
      <c r="O7" s="21" t="n">
        <v>0.93</v>
      </c>
      <c r="P7" s="18" t="inlineStr">
        <is>
          <t>HIGH</t>
        </is>
      </c>
      <c r="Q7" s="18" t="b">
        <v>1</v>
      </c>
      <c r="R7" s="16" t="inlineStr">
        <is>
          <t>USD</t>
        </is>
      </c>
      <c r="S7" s="18" t="inlineStr">
        <is>
          <t>NO_CHANGE</t>
        </is>
      </c>
      <c r="T7" s="19" t="n">
        <v>27000</v>
      </c>
      <c r="U7" s="19" t="n">
        <v>11725.1</v>
      </c>
      <c r="V7" s="19" t="n">
        <v>38725.1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38725.1</v>
      </c>
      <c r="AG7" s="19" t="n">
        <v>38725.1</v>
      </c>
      <c r="AH7" s="19" t="n">
        <v>38725.1</v>
      </c>
      <c r="AI7" s="18" t="b">
        <v>0</v>
      </c>
      <c r="AJ7" s="18" t="inlineStr">
        <is>
          <t>NOT_APPLIED</t>
        </is>
      </c>
      <c r="AK7" s="16" t="inlineStr">
        <is>
          <t>—</t>
        </is>
      </c>
      <c r="AL7" s="18" t="inlineStr">
        <is>
          <t>—</t>
        </is>
      </c>
      <c r="AM7" s="19" t="inlineStr">
        <is>
          <t>UNAVAILABLE</t>
        </is>
      </c>
      <c r="AN7" s="19" t="inlineStr">
        <is>
          <t>UNAVAILABLE</t>
        </is>
      </c>
      <c r="AO7" s="19" t="inlineStr">
        <is>
          <t>UNAVAILABLE</t>
        </is>
      </c>
      <c r="AP7" s="19" t="inlineStr">
        <is>
          <t>UNAVAILABLE</t>
        </is>
      </c>
      <c r="AQ7" s="18" t="inlineStr">
        <is>
          <t>—</t>
        </is>
      </c>
      <c r="AR7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7" s="22" t="inlineStr">
        <is>
          <t>{"coverage":1.0,"epoch_maturity":1.0,"sample":1.0,"signal":1.0,"stability":0.91}</t>
        </is>
      </c>
      <c r="AT7" s="22" t="inlineStr">
        <is>
          <t>["EVID-9475F7B85538B16451EA1C33","EVID-FBF33D9F734E4A15AC59AA04","EVID-A1C75CA0E3C954E8451A24A9","EVID-9CDDE8E0C8CE33998BB2989D","EVID-76C886F1C575094A206B1C98","EVID-43AC520BEDF28B837AD5491F","EVID-816032E26FD5D0505D12B7B5","EVID-671AEFC2D527CBB61D748323","EVID-37B58153FD21C4097D6839AF","EVID-8FDC7E9818FEE739EB1C3E96"]</t>
        </is>
      </c>
      <c r="AU7" s="22" t="inlineStr">
        <is>
          <t>{"EVID-37B58153FD21C4097D6839AF":{"comparator":"","epoch_scope":"CURRENT","evidence_id":"EVID-37B58153FD21C4097D6839AF","interpretation":"Forward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unavailable.","metric":"forward_aws_cost_365d","observation_window":"forward_365d","source":"derived","source_field":"aws_current_epoch_cost_model","threshold":null,"unit":"USD","value":11725.1},"EVID-43AC520BEDF28B837AD5491F":{"comparator":"&gt;= increase signal","epoch_scope":"CURRENT","evidence_id":"EVID-43AC520BEDF28B837AD5491F","interpretation":"Severity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epoch","source":"system.query.history","source_field":"waiting_at_capacity_duration_ms","threshold":30000,"unit":"ms","value":0},"EVID-671AEFC2D527CBB61D748323":{"comparator":"","epoch_scope":"CURRENT","evidence_id":"EVID-671AEFC2D527CBB61D748323","interpretation":"No-change forward DBU cost forecast anchored to the current configuration epoch.","metric":"forward_dbu_cost_365d","observation_window":"forward_365d","source":"derived","source_field":"epoch-runrate-v2.7","threshold":null,"unit":"USD","value":27000.0},"EVID-76C886F1C575094A206B1C98":{"comparator":"&gt;= evidence minimum for increase","epoch_scope":"CURRENT","evidence_id":"EVID-76C886F1C575094A206B1C98","interpretation":"Queries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epoch","source":"system.query.history","source_field":"waiting_at_capacity_duration_ms","threshold":20,"unit":"queries","value":0},"EVID-816032E26FD5D0505D12B7B5":{"comparator":"","epoch_scope":"CURRENT","evidence_id":"EVID-816032E26FD5D0505D12B7B5","interpretation":"Observed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price","threshold":null,"unit":"USD","value":23760.0},"EVID-8FDC7E9818FEE739EB1C3E96":{"comparator":"","epoch_scope":"CURRENT","evidence_id":"EVID-8FDC7E9818FEE739EB1C3E96","interpretation":"Calendar-day coverage available to the forward cost model.","metric":"cost_history_days","observation_window":"current_epoch","source":"system.billing.usage","source_field":"usage_date","threshold":null,"unit":"days","value":259},"EVID-9475F7B85538B16451EA1C33":{"comparator":"","epoch_scope":"CURRENT","evidence_id":"EVID-9475F7B85538B16451EA1C33","interpretation":"Configured concurrency ceiling.","metric":"max_clusters","observation_window":"current epoch","source":"system.compute.warehouses","source_field":"max_clusters","threshold":null,"unit":"value","value":4},"EVID-9CDDE8E0C8CE33998BB2989D":{"comparator":"&gt;= increase signal","epoch_scope":"CURRENT","evidence_id":"EVID-9CDDE8E0C8CE33998BB2989D","interpretation":"Frequency of capacity queueing.","metric":"queued_query_pct_30","observation_window":"last 30 days within current epoch","source":"system.query.history","source_field":"waiting_at_capacity_duration_ms","threshold":5.0,"unit":"%","value":0.0},"EVID-A1C75CA0E3C954E8451A24A9":{"comparator":"&lt;= reduce-safe","epoch_scope":"CURRENT","evidence_id":"EVID-A1C75CA0E3C954E8451A24A9","interpretation":"Fraction of running time at configured maximum.","metric":"time_at_max_pct","observation_window":"current epoch","source":"system.compute.warehouse_events","source_field":"cluster_count","threshold":1.0,"unit":"%","value":0.0},"EVID-FBF33D9F734E4A15AC59AA04":{"comparator":"","epoch_scope":"CURRENT","evidence_id":"EVID-FBF33D9F734E4A15AC59AA04","interpretation":"Highest observed scale level.","metric":"max_observed_clusters","observation_window":"current epoch","source":"system.compute.warehouse_events","source_field":"cluster_count","threshold":null,"unit":"clusters","value":2}}</t>
        </is>
      </c>
      <c r="AV7" s="22" t="inlineStr">
        <is>
          <t>[{"comparator":"&lt;= reduce-safe","evidence_id":"EVID-A1C75CA0E3C954E8451A24A9","metric":"time_at_max_pct","threshold":1.0},{"comparator":"&gt;= increase signal","evidence_id":"EVID-9CDDE8E0C8CE33998BB2989D","metric":"queued_query_pct_30","threshold":5.0},{"comparator":"&gt;= evidence minimum for increase","evidence_id":"EVID-76C886F1C575094A206B1C98","metric":"queued_queries_30","threshold":20},{"comparator":"&gt;= increase signal","evidence_id":"EVID-43AC520BEDF28B837AD5491F","metric":"p95_wait_capacity_ms_when_queued_30","threshold":30000}]</t>
        </is>
      </c>
      <c r="AW7" s="22" t="inlineStr">
        <is>
          <t>[{"condition":null,"dependency_type":"KNOB","ref_id":"warehouse_size"}]</t>
        </is>
      </c>
      <c r="AX7" s="22" t="inlineStr">
        <is>
          <t>["min_clusters"]</t>
        </is>
      </c>
      <c r="AY7" s="22" t="inlineStr">
        <is>
          <t>[]</t>
        </is>
      </c>
      <c r="AZ7" s="22" t="inlineStr">
        <is>
          <t>[{"execution_state":"PENDING_REEVALUATION","scenario_id":"SCN-F6C96142718566E6610757F4","scenario_name":"Plan A — Optimize current warehouse type","step":2}]</t>
        </is>
      </c>
      <c r="BA7" s="22" t="inlineStr">
        <is>
          <t>[]</t>
        </is>
      </c>
    </row>
    <row r="8" ht="32" customHeight="1">
      <c r="A8" s="14" t="inlineStr">
        <is>
          <t>PKG-CAA063CBB4924A9B7B8E4514</t>
        </is>
      </c>
      <c r="B8" s="14" t="inlineStr">
        <is>
          <t>CAND-F7CD1FD114943EA1AAB92DF2</t>
        </is>
      </c>
      <c r="C8" s="14" t="inlineStr">
        <is>
          <t>WH-MIN-CLUSTER-REDUCE-001</t>
        </is>
      </c>
      <c r="D8" s="14" t="inlineStr">
        <is>
          <t>1234567890123456</t>
        </is>
      </c>
      <c r="E8" s="14" t="inlineStr">
        <is>
          <t>wh-synth-001</t>
        </is>
      </c>
      <c r="F8" s="15" t="inlineStr">
        <is>
          <t>BI - Sales</t>
        </is>
      </c>
      <c r="G8" s="16" t="inlineStr">
        <is>
          <t>sales-bi@databricks.example</t>
        </is>
      </c>
      <c r="H8" s="14" t="inlineStr">
        <is>
          <t>EPOCH-1E860B90A87FD2D57B2BF76D</t>
        </is>
      </c>
      <c r="I8" s="18" t="inlineStr">
        <is>
          <t>min_clusters</t>
        </is>
      </c>
      <c r="J8" s="18" t="inlineStr">
        <is>
          <t>TEST_REQUIRED</t>
        </is>
      </c>
      <c r="K8" s="15" t="inlineStr">
        <is>
          <t>COST</t>
        </is>
      </c>
      <c r="L8" s="15" t="n">
        <v>2</v>
      </c>
      <c r="M8" s="15" t="n">
        <v>1</v>
      </c>
      <c r="N8" s="15" t="inlineStr">
        <is>
          <t>Warehouse spends substantial time at minimum capacity without queue/scale pressure; time at the floor does not prove a floor cluster was spare, so the reduction is a canary candidate and its savings an upper-bound range.</t>
        </is>
      </c>
      <c r="O8" s="21" t="n">
        <v>0.78</v>
      </c>
      <c r="P8" s="18" t="inlineStr">
        <is>
          <t>MEDIUM</t>
        </is>
      </c>
      <c r="Q8" s="18" t="b">
        <v>1</v>
      </c>
      <c r="R8" s="16" t="inlineStr">
        <is>
          <t>USD</t>
        </is>
      </c>
      <c r="S8" s="18" t="inlineStr">
        <is>
          <t>SAVINGS</t>
        </is>
      </c>
      <c r="T8" s="19" t="n">
        <v>27000</v>
      </c>
      <c r="U8" s="19" t="n">
        <v>11725.1</v>
      </c>
      <c r="V8" s="19" t="n">
        <v>38725.1</v>
      </c>
      <c r="W8" s="19" t="n">
        <v>0</v>
      </c>
      <c r="X8" s="19" t="n">
        <v>5400</v>
      </c>
      <c r="Y8" s="19" t="n">
        <v>10800</v>
      </c>
      <c r="Z8" s="19" t="n">
        <v>0</v>
      </c>
      <c r="AA8" s="19" t="n">
        <v>2345.02</v>
      </c>
      <c r="AB8" s="19" t="n">
        <v>4690.04</v>
      </c>
      <c r="AC8" s="19" t="n">
        <v>0</v>
      </c>
      <c r="AD8" s="19" t="n">
        <v>7745.02</v>
      </c>
      <c r="AE8" s="19" t="n">
        <v>15490.04</v>
      </c>
      <c r="AF8" s="19" t="n">
        <v>23235.06</v>
      </c>
      <c r="AG8" s="19" t="n">
        <v>30980.08</v>
      </c>
      <c r="AH8" s="19" t="n">
        <v>38725.1</v>
      </c>
      <c r="AI8" s="18" t="b">
        <v>0</v>
      </c>
      <c r="AJ8" s="18" t="inlineStr">
        <is>
          <t>NOT_APPLIED</t>
        </is>
      </c>
      <c r="AK8" s="16" t="inlineStr">
        <is>
          <t>—</t>
        </is>
      </c>
      <c r="AL8" s="18" t="inlineStr">
        <is>
          <t>—</t>
        </is>
      </c>
      <c r="AM8" s="19" t="inlineStr">
        <is>
          <t>UNAVAILABLE</t>
        </is>
      </c>
      <c r="AN8" s="19" t="inlineStr">
        <is>
          <t>UNAVAILABLE</t>
        </is>
      </c>
      <c r="AO8" s="19" t="inlineStr">
        <is>
          <t>UNAVAILABLE</t>
        </is>
      </c>
      <c r="AP8" s="19" t="inlineStr">
        <is>
          <t>UNAVAILABLE</t>
        </is>
      </c>
      <c r="AQ8" s="18" t="inlineStr">
        <is>
          <t>—</t>
        </is>
      </c>
      <c r="AR8" s="15" t="inlineStr">
        <is>
          <t>time_at_min_pct &gt;= reduction signal 25.0; queued_query_pct_30 &lt;= safe 0.5; p95_wait_capacity_ms_when_queued_30 &lt;= safe 5000; time_at_max_pct &gt;= blocker 20.0</t>
        </is>
      </c>
      <c r="AS8" s="22" t="inlineStr">
        <is>
          <t>{"coverage":1.0,"epoch_maturity":1.0,"sample":1.0,"signal":1.0,"stability":0.91}</t>
        </is>
      </c>
      <c r="AT8" s="22" t="inlineStr">
        <is>
          <t>["EVID-B2F3556302DC172A975B5E1D","EVID-758B77C00654A7C0ADB79FEF","EVID-E64F7F42523DB02D3B0CFEAB","EVID-B97068E09275EE196C280B20","EVID-34B06F602B3B350E40C7FB2F","EVID-816032E26FD5D0505D12B7B5","EVID-671AEFC2D527CBB61D748323","EVID-37B58153FD21C4097D6839AF","EVID-8FDC7E9818FEE739EB1C3E96"]</t>
        </is>
      </c>
      <c r="AU8" s="22" t="inlineStr">
        <is>
          <t>{"EVID-34B06F602B3B350E40C7FB2F":{"comparator":"&gt;= blocker","epoch_scope":"CURRENT","evidence_id":"EVID-34B06F602B3B350E40C7FB2F","interpretation":"Sustained scale pressure blocks minimum reduction.","metric":"time_at_max_pct","observation_window":"current epoch","source":"system.compute.warehouse_events","source_field":"cluster_count","threshold":20.0,"unit":"%","value":0.0},"EVID-37B58153FD21C4097D6839AF":{"comparator":"","epoch_scope":"CURRENT","evidence_id":"EVID-37B58153FD21C4097D6839AF","interpretation":"Forward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-671AEFC2D527CBB61D748323":{"comparator":"","epoch_scope":"CURRENT","evidence_id":"EVID-671AEFC2D527CBB61D748323","interpretation":"No-change forward DBU cost forecast anchored to the current configuration epoch.","metric":"forward_dbu_cost_365d","observation_window":"forward_365d","source":"derived","source_field":"epoch-runrate-v2.7","threshold":null,"unit":"USD","value":27000.0},"EVID-758B77C00654A7C0ADB79FEF":{"comparator":"&gt;= reduction signal","epoch_scope":"CURRENT","evidence_id":"EVID-758B77C00654A7C0ADB79FEF","interpretation":"How often the warehouse sits at its minimum.","metric":"time_at_min_pct","observation_window":"current epoch","source":"system.compute.warehouse_events","source_field":"cluster_count","threshold":25.0,"unit":"%","value":80.0},"EVID-816032E26FD5D0505D12B7B5":{"comparator":"","epoch_scope":"CURRENT","evidence_id":"EVID-816032E26FD5D0505D12B7B5","interpretation":"Observed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price","threshold":null,"unit":"USD","value":23760.0},"EVID-8FDC7E9818FEE739EB1C3E96":{"comparator":"","epoch_scope":"CURRENT","evidence_id":"EVID-8FDC7E9818FEE739EB1C3E96","interpretation":"Calendar-day coverage available to the forward cost model.","metric":"cost_history_days","observation_window":"current_epoch","source":"system.billing.usage","source_field":"usage_date","threshold":null,"unit":"days","value":259},"EVID-B2F3556302DC172A975B5E1D":{"comparator":"","epoch_scope":"CURRENT","evidence_id":"EVID-B2F3556302DC172A975B5E1D","interpretation":"Configured minimum scale.","metric":"min_clusters","observation_window":"current epoch","source":"system.compute.warehouses","source_field":"min_clusters","threshold":null,"unit":"value","value":2},"EVID-B97068E09275EE196C280B20":{"comparator":"&lt;= safe","epoch_scope":"CURRENT","evidence_id":"EVID-B97068E09275EE196C280B20","interpretation":"Queue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epoch","source":"system.query.history","source_field":"waiting_at_capacity_duration_ms","threshold":5000,"unit":"ms","value":0},"EVID-E64F7F42523DB02D3B0CFEAB":{"comparator":"&lt;= safe","epoch_scope":"CURRENT","evidence_id":"EVID-E64F7F42523DB02D3B0CFEAB","interpretation":"Queue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epoch","source":"system.query.history","source_field":"waiting_at_capacity_duration_ms","threshold":0.5,"unit":"%","value":0.0}}</t>
        </is>
      </c>
      <c r="AV8" s="22" t="inlineStr">
        <is>
          <t>[{"comparator":"&gt;= reduction signal","evidence_id":"EVID-758B77C00654A7C0ADB79FEF","metric":"time_at_min_pct","threshold":25.0},{"comparator":"&lt;= safe","evidence_id":"EVID-E64F7F42523DB02D3B0CFEAB","metric":"queued_query_pct_30","threshold":0.5},{"comparator":"&lt;= safe","evidence_id":"EVID-B97068E09275EE196C280B20","metric":"p95_wait_capacity_ms_when_queued_30","threshold":5000},{"comparator":"&gt;= blocker","evidence_id":"EVID-34B06F602B3B350E40C7FB2F","metric":"time_at_max_pct","threshold":20.0}]</t>
        </is>
      </c>
      <c r="AW8" s="22" t="inlineStr">
        <is>
          <t>[{"condition":null,"dependency_type":"KNOB","ref_id":"warehouse_size"},{"condition":null,"dependency_type":"KNOB","ref_id":"max_clusters"}]</t>
        </is>
      </c>
      <c r="AX8" s="22" t="inlineStr">
        <is>
          <t>["auto_stop_minutes"]</t>
        </is>
      </c>
      <c r="AY8" s="22" t="inlineStr">
        <is>
          <t>["A_B_PERFORMANCE_VALIDATION_REQUIRED","SPARE_FLOOR_CAPACITY_UNPROVEN"]</t>
        </is>
      </c>
      <c r="AZ8" s="22" t="inlineStr">
        <is>
          <t>[{"execution_state":"PENDING_REEVALUATION","scenario_id":"SCN-F6C96142718566E6610757F4","scenario_name":"Plan A — Optimize current warehouse type","step":3}]</t>
        </is>
      </c>
      <c r="BA8" s="22" t="inlineStr">
        <is>
          <t>[]</t>
        </is>
      </c>
    </row>
    <row r="9" ht="32" customHeight="1">
      <c r="A9" s="14" t="inlineStr">
        <is>
          <t>PKG-CAA063CBB4924A9B7B8E4514</t>
        </is>
      </c>
      <c r="B9" s="14" t="inlineStr">
        <is>
          <t>CAND-1EB011ABA71F8CF380C298A8</t>
        </is>
      </c>
      <c r="C9" s="14" t="inlineStr">
        <is>
          <t>WH-AUTOSTOP-REDUCE-001</t>
        </is>
      </c>
      <c r="D9" s="14" t="inlineStr">
        <is>
          <t>1234567890123456</t>
        </is>
      </c>
      <c r="E9" s="14" t="inlineStr">
        <is>
          <t>wh-synth-001</t>
        </is>
      </c>
      <c r="F9" s="15" t="inlineStr">
        <is>
          <t>BI - Sales</t>
        </is>
      </c>
      <c r="G9" s="16" t="inlineStr">
        <is>
          <t>sales-bi@databricks.example</t>
        </is>
      </c>
      <c r="H9" s="14" t="inlineStr">
        <is>
          <t>EPOCH-1E860B90A87FD2D57B2BF76D</t>
        </is>
      </c>
      <c r="I9" s="18" t="inlineStr">
        <is>
          <t>auto_stop_minutes</t>
        </is>
      </c>
      <c r="J9" s="18" t="inlineStr">
        <is>
          <t>ACTIONABLE</t>
        </is>
      </c>
      <c r="K9" s="15" t="inlineStr">
        <is>
          <t>COST</t>
        </is>
      </c>
      <c r="L9" s="15" t="n">
        <v>120</v>
      </c>
      <c r="M9" s="15" t="n">
        <v>30</v>
      </c>
      <c r="N9" s="15" t="inlineStr">
        <is>
          <t>Idle-gap evidence supports a lower auto-stop target.</t>
        </is>
      </c>
      <c r="O9" s="21" t="n">
        <v>0.93</v>
      </c>
      <c r="P9" s="18" t="inlineStr">
        <is>
          <t>HIGH</t>
        </is>
      </c>
      <c r="Q9" s="18" t="b">
        <v>1</v>
      </c>
      <c r="R9" s="16" t="inlineStr">
        <is>
          <t>USD</t>
        </is>
      </c>
      <c r="S9" s="18" t="inlineStr">
        <is>
          <t>SAVINGS</t>
        </is>
      </c>
      <c r="T9" s="19" t="n">
        <v>27000</v>
      </c>
      <c r="U9" s="19" t="n">
        <v>11725.1</v>
      </c>
      <c r="V9" s="19" t="n">
        <v>38725.1</v>
      </c>
      <c r="W9" s="19" t="n">
        <v>5346</v>
      </c>
      <c r="X9" s="19" t="n">
        <v>8019</v>
      </c>
      <c r="Y9" s="19" t="n">
        <v>10692</v>
      </c>
      <c r="Z9" s="19" t="n">
        <v>2321.57</v>
      </c>
      <c r="AA9" s="19" t="n">
        <v>3482.35</v>
      </c>
      <c r="AB9" s="19" t="n">
        <v>4643.14</v>
      </c>
      <c r="AC9" s="19" t="n">
        <v>7667.57</v>
      </c>
      <c r="AD9" s="19" t="n">
        <v>11501.35</v>
      </c>
      <c r="AE9" s="19" t="n">
        <v>15335.14</v>
      </c>
      <c r="AF9" s="19" t="n">
        <v>23389.96</v>
      </c>
      <c r="AG9" s="19" t="n">
        <v>27223.75</v>
      </c>
      <c r="AH9" s="19" t="n">
        <v>31057.53</v>
      </c>
      <c r="AI9" s="18" t="b">
        <v>0</v>
      </c>
      <c r="AJ9" s="18" t="inlineStr">
        <is>
          <t>NOT_APPLIED</t>
        </is>
      </c>
      <c r="AK9" s="16" t="inlineStr">
        <is>
          <t>—</t>
        </is>
      </c>
      <c r="AL9" s="18" t="inlineStr">
        <is>
          <t>—</t>
        </is>
      </c>
      <c r="AM9" s="19" t="inlineStr">
        <is>
          <t>UNAVAILABLE</t>
        </is>
      </c>
      <c r="AN9" s="19" t="inlineStr">
        <is>
          <t>UNAVAILABLE</t>
        </is>
      </c>
      <c r="AO9" s="19" t="inlineStr">
        <is>
          <t>UNAVAILABLE</t>
        </is>
      </c>
      <c r="AP9" s="19" t="inlineStr">
        <is>
          <t>UNAVAILABLE</t>
        </is>
      </c>
      <c r="AQ9" s="18" t="inlineStr">
        <is>
          <t>—</t>
        </is>
      </c>
      <c r="AR9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9" s="22" t="inlineStr">
        <is>
          <t>{"coverage":1.0,"epoch_maturity":1.0,"sample":1.0,"signal":1.0,"stability":0.91}</t>
        </is>
      </c>
      <c r="AT9" s="22" t="inlineStr">
        <is>
          <t>["EVID-6ED4860D13BF644A666A35DC","EVID-0C186B67BBA35BE5E67FC5B4","EVID-8B53A706B88503957283FBAF","EVID-F3407AFA2008FBBDD9A22AB0","EVID-06FF9A63969D378F8BA1F07C","EVID-D6A8913E1EEDE597C6DE13D7","EVID-2AD1BDE448603EA994275416","EVID-9123C82F00FD3E06C4EC1397","EVID-816032E26FD5D0505D12B7B5","EVID-671AEFC2D527CBB61D748323","EVID-37B58153FD21C4097D6839AF","EVID-8FDC7E9818FEE739EB1C3E96"]</t>
        </is>
      </c>
      <c r="AU9" s="22" t="inlineStr">
        <is>
          <t>{"EVID-06FF9A63969D378F8BA1F07C":{"comparator":"","epoch_scope":"CURRENT","evidence_id":"EVID-06FF9A63969D378F8BA1F07C","interpretation":"Queries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epoch","source":"system.query.history","source_field":"waiting_for_compute_duration_ms","threshold":null,"unit":"queries","value":8},"EVID-0C186B67BBA35BE5E67FC5B4":{"comparator":"","epoch_scope":"CURRENT","evidence_id":"EVID-0C186B67BBA35BE5E67FC5B4","interpretation":"Activity density selects the auto-stop target.","metric":"queries_per_active_day_30","observation_window":"last 30 days within current epoch","source":"system.query.history","source_field":"start_time","threshold":null,"unit":"queries/day","value":400.0},"EVID-2AD1BDE448603EA994275416":{"comparator":"&gt;= cold-start blocker","epoch_scope":"CURRENT","evidence_id":"EVID-2AD1BDE448603EA994275416","interpretation":"Restart frequency guardrail.","metric":"starts_per_active_day_30","observation_window":"last 30 days within current epoch","source":"system.compute.warehouse_events","source_field":"event_type=STARTING","threshold":0.5,"unit":"starts/day","value":0.2667},"EVID-37B58153FD21C4097D6839AF":{"comparator":"","epoch_scope":"CURRENT","evidence_id":"EVID-37B58153FD21C4097D6839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-671AEFC2D527CBB61D748323":{"comparator":"","epoch_scope":"CURRENT","evidence_id":"EVID-671AEFC2D527CBB61D748323","interpretation":"No-change forward DBU cost forecast anchored to the current configuration epoch.","metric":"forward_dbu_cost_365d","observation_window":"forward_365d","source":"derived","source_field":"epoch-runrate-v2.7","threshold":null,"unit":"USD","value":27000.0},"EVID-6ED4860D13BF644A666A35DC":{"comparator":"&gt; target","epoch_scope":"CURRENT","evidence_id":"EVID-6ED4860D13BF644A666A35DC","interpretation":"Current idle termination setting versus deterministic policy target.","metric":"auto_stop_minutes","observation_window":"current epoch","source":"system.compute.warehouses","source_field":"auto_stop_minutes","threshold":30,"unit":"minutes","value":120},"EVID-816032E26FD5D0505D12B7B5":{"comparator":"","epoch_scope":"CURRENT","evidence_id":"EVID-816032E26FD5D0505D12B7B5","interpretation":"Observed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price","threshold":null,"unit":"USD","value":23760.0},"EVID-8B53A706B88503957283FBAF":{"comparator":"&gt;= evidence minimum","epoch_scope":"CURRENT","evidence_id":"EVID-8B53A706B88503957283FBAF","interpretation":"Non-overlapping inter-query gap sample supporting the auto-stop counterfactual.","metric":"idle_gap_count","observation_window":"current epoch","source":"system.query.history","source_field":"start_time/end_time","threshold":30,"unit":"gaps","value":480},"EVID-8FDC7E9818FEE739EB1C3E96":{"comparator":"","epoch_scope":"CURRENT","evidence_id":"EVID-8FDC7E9818FEE739EB1C3E96","interpretation":"Calendar-day coverage available to the forward cost model.","metric":"cost_history_days","observation_window":"current_epoch","source":"system.billing.usage","source_field":"usage_date","threshold":null,"unit":"days","value":259},"EVID-9123C82F00FD3E06C4EC1397":{"comparator":"","epoch_scope":"CURRENT","evidence_id":"EVID-9123C82F00FD3E06C4EC1397","interpretation":"Estimated additional off-time at the candidate target.","metric":"estimated_additional_off_minutes","observation_window":"current epoch","source":"system.query.history","source_field":"inter-query gap","threshold":null,"unit":"minutes","value":7920.0},"EVID-D6A8913E1EEDE597C6DE13D7":{"comparator":"&gt;= cold-start blocker","epoch_scope":"CURRENT","evidence_id":"EVID-D6A8913E1EEDE597C6DE13D7","interpretation":"Cold-start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epoch","source":"system.query.history","source_field":"waiting_for_compute_duration_ms","threshold":60000,"unit":"ms","value":3500},"EVID-F3407AFA2008FBBDD9A22AB0":{"comparator":"&gt;= evidence minimum","epoch_scope":"CURRENT","evidence_id":"EVID-F3407AFA2008FBBDD9A22AB0","interpretation":"Observed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epoch","source":"system.compute.warehouse_events","source_field":"cluster_count/event_time","threshold":1.0,"unit":"cluster-minutes","value":40000.0}}</t>
        </is>
      </c>
      <c r="AV9" s="22" t="inlineStr">
        <is>
          <t>[{"comparator":"&gt; target","evidence_id":"EVID-6ED4860D13BF644A666A35DC","metric":"auto_stop_minutes","threshold":30},{"comparator":"&gt;= evidence minimum","evidence_id":"EVID-8B53A706B88503957283FBAF","metric":"idle_gap_count","threshold":30},{"comparator":"&gt;= evidence minimum","evidence_id":"EVID-F3407AFA2008FBBDD9A22AB0","metric":"cluster_minutes","threshold":1.0},{"comparator":"&gt;= cold-start blocker","evidence_id":"EVID-D6A8913E1EEDE597C6DE13D7","metric":"p95_wait_compute_ms_when_waited_30","threshold":60000},{"comparator":"&gt;= cold-start blocker","evidence_id":"EVID-2AD1BDE448603EA994275416","metric":"starts_per_active_day_30","threshold":0.5}]</t>
        </is>
      </c>
      <c r="AW9" s="22" t="inlineStr">
        <is>
          <t>[{"condition":null,"dependency_type":"KNOB","ref_id":"min_clusters"}]</t>
        </is>
      </c>
      <c r="AX9" s="22" t="inlineStr">
        <is>
          <t>[]</t>
        </is>
      </c>
      <c r="AY9" s="22" t="inlineStr">
        <is>
          <t>[]</t>
        </is>
      </c>
      <c r="AZ9" s="22" t="inlineStr">
        <is>
          <t>[{"execution_state":"PENDING_REEVALUATION","scenario_id":"SCN-F6C96142718566E6610757F4","scenario_name":"Plan A — Optimize current warehouse type","step":4}]</t>
        </is>
      </c>
      <c r="BA9" s="22" t="inlineStr">
        <is>
          <t>[]</t>
        </is>
      </c>
    </row>
    <row r="10" ht="32" customHeight="1">
      <c r="A10" s="14" t="inlineStr">
        <is>
          <t>PKG-CAA063CBB4924A9B7B8E4514</t>
        </is>
      </c>
      <c r="B10" s="14" t="inlineStr">
        <is>
          <t>CAND-78762B303EA11AF80300E2C3</t>
        </is>
      </c>
      <c r="C10" s="14" t="inlineStr">
        <is>
          <t>WH-SERVERLESS-MIGRATE-001</t>
        </is>
      </c>
      <c r="D10" s="14" t="inlineStr">
        <is>
          <t>1234567890123456</t>
        </is>
      </c>
      <c r="E10" s="14" t="inlineStr">
        <is>
          <t>wh-synth-001</t>
        </is>
      </c>
      <c r="F10" s="15" t="inlineStr">
        <is>
          <t>BI - Sales</t>
        </is>
      </c>
      <c r="G10" s="16" t="inlineStr">
        <is>
          <t>sales-bi@databricks.example</t>
        </is>
      </c>
      <c r="H10" s="14" t="inlineStr">
        <is>
          <t>EPOCH-1E860B90A87FD2D57B2BF76D</t>
        </is>
      </c>
      <c r="I10" s="18" t="inlineStr">
        <is>
          <t>warehouse_type</t>
        </is>
      </c>
      <c r="J10" s="18" t="inlineStr">
        <is>
          <t>TEST_REQUIRED</t>
        </is>
      </c>
      <c r="K10" s="15" t="inlineStr">
        <is>
          <t>MIGRATION, COST_AND_PERFORMANCE, OPERATIONS</t>
        </is>
      </c>
      <c r="L10" s="15" t="inlineStr">
        <is>
          <t>PRO</t>
        </is>
      </c>
      <c r="M10" s="15" t="inlineStr">
        <is>
          <t>SERVERLESS</t>
        </is>
      </c>
      <c r="N10" s="15" t="inlineStr">
        <is>
          <t>Serverless is evaluated as a separate migration experiment with a pre-canary DBU/AWS counterfactual and deterministic compatibility gate.</t>
        </is>
      </c>
      <c r="O10" s="21" t="n">
        <v>0.78</v>
      </c>
      <c r="P10" s="18" t="inlineStr">
        <is>
          <t>MEDIUM</t>
        </is>
      </c>
      <c r="Q10" s="18" t="b">
        <v>1</v>
      </c>
      <c r="R10" s="16" t="inlineStr">
        <is>
          <t>USD</t>
        </is>
      </c>
      <c r="S10" s="18" t="inlineStr">
        <is>
          <t>SAVINGS</t>
        </is>
      </c>
      <c r="T10" s="19" t="n">
        <v>27000</v>
      </c>
      <c r="U10" s="19" t="n">
        <v>11725.1</v>
      </c>
      <c r="V10" s="19" t="n">
        <v>38725.1</v>
      </c>
      <c r="W10" s="19" t="n">
        <v>693.6900000000001</v>
      </c>
      <c r="X10" s="19" t="n">
        <v>693.6900000000001</v>
      </c>
      <c r="Y10" s="19" t="n">
        <v>13846.85</v>
      </c>
      <c r="Z10" s="19" t="n">
        <v>11725.1</v>
      </c>
      <c r="AA10" s="19" t="n">
        <v>11725.1</v>
      </c>
      <c r="AB10" s="19" t="n">
        <v>11725.1</v>
      </c>
      <c r="AC10" s="19" t="n">
        <v>12418.79</v>
      </c>
      <c r="AD10" s="19" t="n">
        <v>12418.79</v>
      </c>
      <c r="AE10" s="19" t="n">
        <v>25571.95</v>
      </c>
      <c r="AF10" s="19" t="n">
        <v>13153.15</v>
      </c>
      <c r="AG10" s="19" t="n">
        <v>26306.31</v>
      </c>
      <c r="AH10" s="19" t="n">
        <v>26306.31</v>
      </c>
      <c r="AI10" s="18" t="b">
        <v>0</v>
      </c>
      <c r="AJ10" s="18" t="inlineStr">
        <is>
          <t>NOT_APPLIED</t>
        </is>
      </c>
      <c r="AK10" s="16" t="inlineStr">
        <is>
          <t>—</t>
        </is>
      </c>
      <c r="AL10" s="18" t="inlineStr">
        <is>
          <t>—</t>
        </is>
      </c>
      <c r="AM10" s="19" t="inlineStr">
        <is>
          <t>UNAVAILABLE</t>
        </is>
      </c>
      <c r="AN10" s="19" t="inlineStr">
        <is>
          <t>UNAVAILABLE</t>
        </is>
      </c>
      <c r="AO10" s="19" t="inlineStr">
        <is>
          <t>UNAVAILABLE</t>
        </is>
      </c>
      <c r="AP10" s="19" t="inlineStr">
        <is>
          <t>UNAVAILABLE</t>
        </is>
      </c>
      <c r="AQ10" s="18" t="inlineStr">
        <is>
          <t>—</t>
        </is>
      </c>
      <c r="AR10" s="15" t="inlineStr">
        <is>
          <t>No numeric threshold</t>
        </is>
      </c>
      <c r="AS10" s="22" t="inlineStr">
        <is>
          <t>{"coverage":1.0,"epoch_maturity":1.0,"sample":1.0,"signal":1.0,"stability":0.91}</t>
        </is>
      </c>
      <c r="AT10" s="22" t="inlineStr">
        <is>
          <t>["EVID-D6C1A66CD6414FC0530CD64D","EVID-B907494F116961DE176B0D84","EVID-379FF5C04A904D87A2DE5C67","EVID-276F66B0ED2BE9C1F9FB7F7D","EVID-4E2C10D0BEF65086F73BD1BB","EVID-F070BBED6A139F6AC2DDC3AB","EVID-D0979C303C3ECC7B43215C4E","EVID-8D64B1C2140B8113E92CB584","EVID-1AD100E505AE1F8331626BFC","EVID-C257109E096D0ECC02DBF878","EVID-F321D01534023722070D55FC","EVID-08FF9FEB1B0F5DD025C7139B","EVID-CEBECE0D400BCC63E7372BA4","EVID-816032E26FD5D0505D12B7B5","EVID-671AEFC2D527CBB61D748323","EVID-37B58153FD21C4097D6839AF","EVID-8FDC7E9818FEE739EB1C3E96"]</t>
        </is>
      </c>
      <c r="AU10" s="22" t="inlineStr">
        <is>
          <t>{"EVID-08FF9FEB1B0F5DD025C7139B":{"comparator":"","epoch_scope":"CURRENT","evidence_id":"EVID-08FF9FEB1B0F5DD025C7139B","interpretation":"Coverage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epoch","source":"system.query.history","source_field":"statement_text","threshold":null,"unit":"%","value":100.0},"EVID-1AD100E505AE1F8331626BFC":{"comparator":"","epoch_scope":"CURRENT","evidence_id":"EVID-1AD100E505AE1F8331626BFC","interpretation":"Databricks SQL editor/query workload mix context.","metric":"sql_editor_queries_30","observation_window":"last 30 days within current epoch","source":"system.query.history","source_field":"query_source.sql_query_id","threshold":null,"unit":"queries","value":960},"EVID-276F66B0ED2BE9C1F9FB7F7D":{"comparator":"","epoch_scope":"CURRENT","evidence_id":"EVID-276F66B0ED2BE9C1F9FB7F7D","interpretation":"Dashboard workload mix context.","metric":"dashboard_queries_30","observation_window":"last 30 days within current epoch","source":"system.query.history","source_field":"query_source.dashboard_id","threshold":null,"unit":"queries","value":9000},"EVID-379FF5C04A904D87A2DE5C67":{"comparator":"","epoch_scope":"CURRENT","evidence_id":"EVID-379FF5C04A904D87A2DE5C67","interpretation":"Query-tag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epoch","source":"system.query.history","source_field":"query_tags","threshold":null,"unit":"%","value":70.0},"EVID-37B58153FD21C4097D6839AF":{"comparator":"","epoch_scope":"CURRENT","evidence_id":"EVID-37B58153FD21C4097D6839AF","interpretation":"Forward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11725.1},"EVID-4E2C10D0BEF65086F73BD1BB":{"comparator":"","epoch_scope":"CURRENT","evidence_id":"EVID-4E2C10D0BEF65086F73BD1BB","interpretation":"Job workload mix context.","metric":"job_queries_30","observation_window":"last 30 days within current epoch","source":"system.query.history","source_field":"query_source.job_info.job_id","threshold":null,"unit":"queries","value":0},"EVID-671AEFC2D527CBB61D748323":{"comparator":"","epoch_scope":"CURRENT","evidence_id":"EVID-671AEFC2D527CBB61D748323","interpretation":"No-change forward DBU cost forecast anchored to the current configuration epoch.","metric":"forward_dbu_cost_365d","observation_window":"forward_365d","source":"derived","source_field":"epoch-runrate-v2.7","threshold":null,"unit":"USD","value":27000.0},"EVID-816032E26FD5D0505D12B7B5":{"comparator":"","epoch_scope":"CURRENT","evidence_id":"EVID-816032E26FD5D0505D12B7B5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price","threshold":null,"unit":"USD","value":23760.0},"EVID-8D64B1C2140B8113E92CB584":{"comparator":"","epoch_scope":"CURRENT","evidence_id":"EVID-8D64B1C2140B8113E92CB584","interpretation":"Alert workload mix context.","metric":"alert_queries_30","observation_window":"last 30 days within current epoch","source":"system.query.history","source_field":"query_source.alert_id","threshold":null,"unit":"queries","value":0},"EVID-8FDC7E9818FEE739EB1C3E96":{"comparator":"","epoch_scope":"CURRENT","evidence_id":"EVID-8FDC7E9818FEE739EB1C3E96","interpretation":"Calendar-day coverage available to the forward cost model.","metric":"cost_history_days","observation_window":"current_epoch","source":"system.billing.usage","source_field":"usage_date","threshold":null,"unit":"days","value":259},"EVID-B907494F116961DE176B0D84":{"comparator":"","epoch_scope":"CURRENT","evidence_id":"EVID-B907494F116961DE176B0D84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days","source":"system.billing.usage","source_field":"product_features.is_serverless","threshold":null,"unit":"%","value":0.0},"EVID-C257109E096D0ECC02DBF878":{"comparator":"","epoch_scope":"CURRENT","evidence_id":"EVID-C257109E096D0ECC02DBF878","interpretation":"Power BI client workload mix context.","metric":"power_bi_queries_30","observation_window":"last 30 days within current epoch","source":"system.query.history","source_field":"client_application","threshold":null,"unit":"queries","value":3000},"EVID-CEBECE0D400BCC63E7372BA4":{"comparator":"","epoch_scope":"CURRENT","evidence_id":"EVID-CEBECE0D400BCC63E7372BA4","interpretation":"Potential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only)","threshold":null,"unit":"queries","value":0},"EVID-D0979C303C3ECC7B43215C4E":{"comparator":"","epoch_scope":"CURRENT","evidence_id":"EVID-D0979C303C3ECC7B43215C4E","interpretation":"Genie workload mix context.","metric":"genie_queries_30","observation_window":"last 30 days within current epoch","source":"system.query.history","source_field":"query_source.genie_space_id","threshold":null,"unit":"queries","value":0},"EVID-D6C1A66CD6414FC0530CD64D":{"comparator":"","epoch_scope":"CURRENT","evidence_id":"EVID-D6C1A66CD6414FC0530CD64D","interpretation":"Current warehouse type.","metric":"warehouse_type","observation_window":"current epoch","source":"system.compute.warehouses","source_field":"warehouse_type","threshold":null,"unit":"value","value":"PRO"},"EVID-F070BBED6A139F6AC2DDC3AB":{"comparator":"","epoch_scope":"CURRENT","evidence_id":"EVID-F070BBED6A139F6AC2DDC3AB","interpretation":"Notebook workload mix context.","metric":"notebook_queries_30","observation_window":"last 30 days within current epoch","source":"system.query.history","source_field":"query_source.notebook_id","threshold":null,"unit":"queries","value":0},"EVID-F321D01534023722070D55FC":{"comparator":"","epoch_scope":"CURRENT","evidence_id":"EVID-F321D01534023722070D55FC","interpretation":"Tableau client workload mix context.","metric":"tableau_queries_30","observation_window":"last 30 days within current epoch","source":"system.query.history","source_field":"client_application","threshold":null,"unit":"queries","value":0}}</t>
        </is>
      </c>
      <c r="AV10" s="22" t="inlineStr">
        <is>
          <t>[]</t>
        </is>
      </c>
      <c r="AW10" s="22" t="inlineStr">
        <is>
          <t>[]</t>
        </is>
      </c>
      <c r="AX10" s="22" t="inlineStr">
        <is>
          <t>["warehouse_size","max_clusters","min_clusters","auto_stop_minutes"]</t>
        </is>
      </c>
      <c r="AY10" s="22" t="inlineStr">
        <is>
          <t>["A_B_COST_PERFORMANCE_VALIDATION_REQUIRED"]</t>
        </is>
      </c>
      <c r="AZ10" s="22" t="inlineStr">
        <is>
          <t>[{"execution_state":"READY_FOR_CANARY","scenario_id":"SCN-4CE208EB461A228615816740","scenario_name":"Plan B — Serverless migration experiment","step":2}]</t>
        </is>
      </c>
      <c r="BA10" s="22" t="inlineStr">
        <is>
          <t>[]</t>
        </is>
      </c>
    </row>
    <row r="11" ht="32" customHeight="1">
      <c r="A11" s="14" t="inlineStr">
        <is>
          <t>PKG-3542FB38D0CE64996A1D7C9D</t>
        </is>
      </c>
      <c r="B11" s="14" t="inlineStr">
        <is>
          <t>CAND-BB5D8BD2733924BAA2A2BB82</t>
        </is>
      </c>
      <c r="C11" s="14" t="inlineStr">
        <is>
          <t>WH-CHANNEL-CURRENT-001</t>
        </is>
      </c>
      <c r="D11" s="14" t="inlineStr">
        <is>
          <t>1234567890123456</t>
        </is>
      </c>
      <c r="E11" s="14" t="inlineStr">
        <is>
          <t>wh-synth-004</t>
        </is>
      </c>
      <c r="F11" s="15" t="inlineStr">
        <is>
          <t>ETL Heavy</t>
        </is>
      </c>
      <c r="G11" s="16" t="inlineStr">
        <is>
          <t>data-engineering@databricks.example</t>
        </is>
      </c>
      <c r="H11" s="14" t="inlineStr">
        <is>
          <t>EPOCH-E7355ACCBEF3E7B7DDB87EDA</t>
        </is>
      </c>
      <c r="I11" s="18" t="inlineStr">
        <is>
          <t>warehouse_channel</t>
        </is>
      </c>
      <c r="J11" s="18" t="inlineStr">
        <is>
          <t>NO_CHANGE</t>
        </is>
      </c>
      <c r="K11" s="15" t="inlineStr">
        <is>
          <t>STABILITY</t>
        </is>
      </c>
      <c r="L11" s="15" t="inlineStr">
        <is>
          <t>CURRENT</t>
        </is>
      </c>
      <c r="M11" s="15" t="inlineStr">
        <is>
          <t>CURRENT</t>
        </is>
      </c>
      <c r="N11" s="15" t="inlineStr">
        <is>
          <t>No channel change indicated.</t>
        </is>
      </c>
      <c r="O11" s="21" t="n">
        <v>0.8</v>
      </c>
      <c r="P11" s="18" t="inlineStr">
        <is>
          <t>HIGH</t>
        </is>
      </c>
      <c r="Q11" s="18" t="b">
        <v>1</v>
      </c>
      <c r="R11" s="16" t="inlineStr">
        <is>
          <t>USD</t>
        </is>
      </c>
      <c r="S11" s="18" t="inlineStr">
        <is>
          <t>NO_CHANGE</t>
        </is>
      </c>
      <c r="T11" s="19" t="n">
        <v>64000</v>
      </c>
      <c r="U11" s="19" t="n">
        <v>74769.7</v>
      </c>
      <c r="V11" s="19" t="n">
        <v>138769.7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138769.7</v>
      </c>
      <c r="AG11" s="19" t="n">
        <v>138769.7</v>
      </c>
      <c r="AH11" s="19" t="n">
        <v>138769.7</v>
      </c>
      <c r="AI11" s="18" t="b">
        <v>0</v>
      </c>
      <c r="AJ11" s="18" t="inlineStr">
        <is>
          <t>NOT_APPLIED</t>
        </is>
      </c>
      <c r="AK11" s="16" t="inlineStr">
        <is>
          <t>—</t>
        </is>
      </c>
      <c r="AL11" s="18" t="inlineStr">
        <is>
          <t>—</t>
        </is>
      </c>
      <c r="AM11" s="19" t="inlineStr">
        <is>
          <t>UNAVAILABLE</t>
        </is>
      </c>
      <c r="AN11" s="19" t="inlineStr">
        <is>
          <t>UNAVAILABLE</t>
        </is>
      </c>
      <c r="AO11" s="19" t="inlineStr">
        <is>
          <t>UNAVAILABLE</t>
        </is>
      </c>
      <c r="AP11" s="19" t="inlineStr">
        <is>
          <t>UNAVAILABLE</t>
        </is>
      </c>
      <c r="AQ11" s="18" t="inlineStr">
        <is>
          <t>—</t>
        </is>
      </c>
      <c r="AR11" s="15" t="inlineStr">
        <is>
          <t>No numeric threshold</t>
        </is>
      </c>
      <c r="AS11" s="22" t="inlineStr">
        <is>
          <t>{"coverage":1.0,"epoch_maturity":1.0,"sample":1.0,"signal":0.7,"stability":0.91}</t>
        </is>
      </c>
      <c r="AT11" s="22" t="inlineStr">
        <is>
          <t>["EVID-47D3DCEFC38B6037DA2C3C66","EVID-823A180D36962C7150FEB320","EVID-31544533FEDFC669EB9E511D","EVID-60346EE4CD6A756F88C9A889","EVID-10635B972051ED8C2A7BEF9D"]</t>
        </is>
      </c>
      <c r="AU11" s="22" t="inlineStr">
        <is>
          <t>{"EVID-10635B972051ED8C2A7BEF9D":{"comparator":"","epoch_scope":"CURRENT","evidence_id":"EVID-10635B972051ED8C2A7BEF9D","interpretation":"Calendar-day coverage available to the forward cost model.","metric":"cost_history_days","observation_window":"current_epoch","source":"system.billing.usage","source_field":"usage_date","threshold":null,"unit":"days","value":264},"EVID-31544533FEDFC669EB9E511D":{"comparator":"","epoch_scope":"CURRENT","evidence_id":"EVID-31544533FEDFC669EB9E511D","interpretation":"No-change forward DBU cost forecast anchored to the current configuration epoch.","metric":"forward_dbu_cost_365d","observation_window":"forward_365d","source":"derived","source_field":"epoch-runrate-v2.7","threshold":null,"unit":"USD","value":64000.0},"EVID-47D3DCEFC38B6037DA2C3C66":{"comparator":"","epoch_scope":"CURRENT","evidence_id":"EVID-47D3DCEFC38B6037DA2C3C66","interpretation":"Current release channel from the current configuration epoch.","metric":"warehouse_channel","observation_window":"current epoch","source":"system.compute.warehouses","source_field":"warehouse_channel","threshold":null,"unit":"value","value":"CURRENT"},"EVID-60346EE4CD6A756F88C9A889":{"comparator":"","epoch_scope":"CURRENT","evidence_id":"EVID-60346EE4CD6A756F88C9A889","interpretation":"Forward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74769.7},"EVID-823A180D36962C7150FEB320":{"comparator":"","epoch_scope":"CURRENT","evidence_id":"EVID-823A180D36962C7150FEB320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price","threshold":null,"unit":"USD","value":56320.0}}</t>
        </is>
      </c>
      <c r="AV11" s="22" t="inlineStr">
        <is>
          <t>[]</t>
        </is>
      </c>
      <c r="AW11" s="22" t="inlineStr">
        <is>
          <t>[]</t>
        </is>
      </c>
      <c r="AX11" s="22" t="inlineStr">
        <is>
          <t>[]</t>
        </is>
      </c>
      <c r="AY11" s="22" t="inlineStr">
        <is>
          <t>[]</t>
        </is>
      </c>
      <c r="AZ11" s="22" t="inlineStr">
        <is>
          <t>[]</t>
        </is>
      </c>
      <c r="BA11" s="22" t="inlineStr">
        <is>
          <t>[]</t>
        </is>
      </c>
    </row>
    <row r="12" ht="32" customHeight="1">
      <c r="A12" s="14" t="inlineStr">
        <is>
          <t>PKG-3542FB38D0CE64996A1D7C9D</t>
        </is>
      </c>
      <c r="B12" s="14" t="inlineStr">
        <is>
          <t>CAND-F6DA76343C4F0EEC6747DD79</t>
        </is>
      </c>
      <c r="C12" s="14" t="inlineStr">
        <is>
          <t>WH-SIZE-UPSIZE-001</t>
        </is>
      </c>
      <c r="D12" s="14" t="inlineStr">
        <is>
          <t>1234567890123456</t>
        </is>
      </c>
      <c r="E12" s="14" t="inlineStr">
        <is>
          <t>wh-synth-004</t>
        </is>
      </c>
      <c r="F12" s="15" t="inlineStr">
        <is>
          <t>ETL Heavy</t>
        </is>
      </c>
      <c r="G12" s="16" t="inlineStr">
        <is>
          <t>data-engineering@databricks.example</t>
        </is>
      </c>
      <c r="H12" s="14" t="inlineStr">
        <is>
          <t>EPOCH-E7355ACCBEF3E7B7DDB87EDA</t>
        </is>
      </c>
      <c r="I12" s="18" t="inlineStr">
        <is>
          <t>warehouse_size</t>
        </is>
      </c>
      <c r="J12" s="18" t="inlineStr">
        <is>
          <t>ACTIONABLE</t>
        </is>
      </c>
      <c r="K12" s="15" t="inlineStr">
        <is>
          <t>PERFORMANCE</t>
        </is>
      </c>
      <c r="L12" s="15" t="inlineStr">
        <is>
          <t>X_LARGE</t>
        </is>
      </c>
      <c r="M12" s="15" t="inlineStr">
        <is>
          <t>2X_LARGE</t>
        </is>
      </c>
      <c r="N12" s="15" t="inlineStr">
        <is>
          <t>Spill frequency and severity both cross the deterministic upsize thresholds.</t>
        </is>
      </c>
      <c r="O12" s="21" t="n">
        <v>0.93</v>
      </c>
      <c r="P12" s="18" t="inlineStr">
        <is>
          <t>HIGH</t>
        </is>
      </c>
      <c r="Q12" s="18" t="b">
        <v>1</v>
      </c>
      <c r="R12" s="16" t="inlineStr">
        <is>
          <t>USD</t>
        </is>
      </c>
      <c r="S12" s="18" t="inlineStr">
        <is>
          <t>COST_INCREASE</t>
        </is>
      </c>
      <c r="T12" s="19" t="n">
        <v>64000</v>
      </c>
      <c r="U12" s="19" t="n">
        <v>74769.7</v>
      </c>
      <c r="V12" s="19" t="n">
        <v>138769.7</v>
      </c>
      <c r="W12" s="19" t="n">
        <v>-64000</v>
      </c>
      <c r="X12" s="19" t="n">
        <v>-25600</v>
      </c>
      <c r="Y12" s="19" t="n">
        <v>0</v>
      </c>
      <c r="Z12" s="19" t="n">
        <v>-59815.76</v>
      </c>
      <c r="AA12" s="19" t="n">
        <v>-19440.12</v>
      </c>
      <c r="AB12" s="19" t="n">
        <v>7476.97</v>
      </c>
      <c r="AC12" s="19" t="n">
        <v>-123815.76</v>
      </c>
      <c r="AD12" s="19" t="n">
        <v>-45040.12</v>
      </c>
      <c r="AE12" s="19" t="n">
        <v>7476.97</v>
      </c>
      <c r="AF12" s="19" t="n">
        <v>131292.73</v>
      </c>
      <c r="AG12" s="19" t="n">
        <v>183809.82</v>
      </c>
      <c r="AH12" s="19" t="n">
        <v>262585.46</v>
      </c>
      <c r="AI12" s="18" t="b">
        <v>0</v>
      </c>
      <c r="AJ12" s="18" t="inlineStr">
        <is>
          <t>NOT_APPLIED</t>
        </is>
      </c>
      <c r="AK12" s="16" t="inlineStr">
        <is>
          <t>—</t>
        </is>
      </c>
      <c r="AL12" s="18" t="inlineStr">
        <is>
          <t>—</t>
        </is>
      </c>
      <c r="AM12" s="19" t="inlineStr">
        <is>
          <t>UNAVAILABLE</t>
        </is>
      </c>
      <c r="AN12" s="19" t="inlineStr">
        <is>
          <t>UNAVAILABLE</t>
        </is>
      </c>
      <c r="AO12" s="19" t="inlineStr">
        <is>
          <t>UNAVAILABLE</t>
        </is>
      </c>
      <c r="AP12" s="19" t="inlineStr">
        <is>
          <t>UNAVAILABLE</t>
        </is>
      </c>
      <c r="AQ12" s="18" t="inlineStr">
        <is>
          <t>—</t>
        </is>
      </c>
      <c r="AR12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12" s="22" t="inlineStr">
        <is>
          <t>{"coverage":1.0,"epoch_maturity":1.0,"sample":1.0,"signal":1.0,"stability":0.91}</t>
        </is>
      </c>
      <c r="AT12" s="22" t="inlineStr">
        <is>
          <t>["EVID-8686A768FBB341A60EA85745","EVID-88AEFDEA380CDAD006F80001","EVID-0A7D5DF3B5E2F45BE27DFD19","EVID-BB7DFD2862AB2ADD1FA0CF31","EVID-EA733691C9BFE7B18FA8EE7E","EVID-F96600E8808D60DFD7238304","EVID-9FFE6B7A17D42D283F900800","EVID-61A44CDFF8B383C5ABB509D9","EVID-823A180D36962C7150FEB320","EVID-31544533FEDFC669EB9E511D","EVID-60346EE4CD6A756F88C9A889","EVID-10635B972051ED8C2A7BEF9D"]</t>
        </is>
      </c>
      <c r="AU12" s="22" t="inlineStr">
        <is>
          <t>{"EVID-0A7D5DF3B5E2F45BE27DFD19":{"comparator":"&gt;= evidence minimum for upsize","epoch_scope":"CURRENT","evidence_id":"EVID-0A7D5DF3B5E2F45BE27DFD19","interpretation":"Queries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epoch","source":"system.query.history","source_field":"spilled_local_bytes","threshold":20,"unit":"queries","value":422},"EVID-10635B972051ED8C2A7BEF9D":{"comparator":"","epoch_scope":"CURRENT","evidence_id":"EVID-10635B972051ED8C2A7BEF9D","interpretation":"Calendar-day coverage available to the forward cost model.","metric":"cost_history_days","observation_window":"current_epoch","source":"system.billing.usage","source_field":"usage_date","threshold":null,"unit":"days","value":264},"EVID-31544533FEDFC669EB9E511D":{"comparator":"","epoch_scope":"CURRENT","evidence_id":"EVID-31544533FEDFC669EB9E511D","interpretation":"No-change forward DBU cost forecast anchored to the current configuration epoch.","metric":"forward_dbu_cost_365d","observation_window":"forward_365d","source":"derived","source_field":"epoch-runrate-v2.7","threshold":null,"unit":"USD","value":64000.0},"EVID-60346EE4CD6A756F88C9A889":{"comparator":"","epoch_scope":"CURRENT","evidence_id":"EVID-60346EE4CD6A756F88C9A889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74769.7},"EVID-61A44CDFF8B383C5ABB509D9":{"comparator":"","epoch_scope":"CURRENT","evidence_id":"EVID-61A44CDFF8B383C5ABB509D9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epoch","source":"system.query.history","source_field":"read_io_cache_percent","threshold":null,"unit":"%","value":35.0},"EVID-823A180D36962C7150FEB320":{"comparator":"","epoch_scope":"CURRENT","evidence_id":"EVID-823A180D36962C7150FEB320","interpretation":"Observed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price","threshold":null,"unit":"USD","value":56320.0},"EVID-8686A768FBB341A60EA85745":{"comparator":"","epoch_scope":"CURRENT","evidence_id":"EVID-8686A768FBB341A60EA85745","interpretation":"Current warehouse size.","metric":"warehouse_size","observation_window":"current epoch","source":"system.compute.warehouses","source_field":"warehouse_size","threshold":null,"unit":"value","value":"X_LARGE"},"EVID-88AEFDEA380CDAD006F80001":{"comparator":"&gt;= upsize signal","epoch_scope":"CURRENT","evidence_id":"EVID-88AEFDEA380CDAD006F80001","interpretation":"Frequency of queries spilling to local storage.","metric":"spill_query_pct_30","observation_window":"last 30 days within current epoch","source":"system.query.history","source_field":"spilled_local_bytes","threshold":2.0,"unit":"%","value":6.5},"EVID-9FFE6B7A17D42D283F900800":{"comparator":"&lt;= downsize-safe","epoch_scope":"CURRENT","evidence_id":"EVID-9FFE6B7A17D42D283F900800","interpretation":"Extreme tail execution latency guardrail.","metric":"p99_execution_ms_30","observation_window":"last 30 days within current epoch","source":"system.query.history","source_field":"execution_duration_ms","threshold":30000,"unit":"ms","value":48000},"EVID-BB7DFD2862AB2ADD1FA0CF31":{"comparator":"&gt;= upsize signal","epoch_scope":"CURRENT","evidence_id":"EVID-BB7DFD2862AB2ADD1FA0CF31","interpretation":"Severity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epoch","source":"system.query.history","source_field":"spilled_local_bytes","threshold":1073741824,"unit":"bytes","value":3221225472},"EVID-EA733691C9BFE7B18FA8EE7E":{"comparator":"&lt;= downsize-safe","epoch_scope":"CURRENT","evidence_id":"EVID-EA733691C9BFE7B18FA8EE7E","interpretation":"Concurrency pressure during the decision window.","metric":"queued_query_pct_30","observation_window":"last 30 days within current epoch","source":"system.query.history","source_field":"waiting_at_capacity_duration_ms","threshold":0.5,"unit":"%","value":0.8},"EVID-F96600E8808D60DFD7238304":{"comparator":"&lt;= downsize-safe","epoch_scope":"CURRENT","evidence_id":"EVID-F96600E8808D60DFD7238304","interpretation":"Tail execution latency guardrail.","metric":"p95_execution_ms_30","observation_window":"last 30 days within current epoch","source":"system.query.history","source_field":"execution_duration_ms","threshold":5000,"unit":"ms","value":14000}}</t>
        </is>
      </c>
      <c r="AV12" s="22" t="inlineStr">
        <is>
          <t>[{"comparator":"&gt;= upsize signal","evidence_id":"EVID-88AEFDEA380CDAD006F80001","metric":"spill_query_pct_30","threshold":2.0},{"comparator":"&gt;= evidence minimum for upsize","evidence_id":"EVID-0A7D5DF3B5E2F45BE27DFD19","metric":"spill_queries_30","threshold":20},{"comparator":"&gt;= upsize signal","evidence_id":"EVID-BB7DFD2862AB2ADD1FA0CF31","metric":"p95_spill_bytes_when_spilled_30","threshold":1073741824},{"comparator":"&lt;= downsize-safe","evidence_id":"EVID-EA733691C9BFE7B18FA8EE7E","metric":"queued_query_pct_30","threshold":0.5},{"comparator":"&lt;= downsize-safe","evidence_id":"EVID-F96600E8808D60DFD7238304","metric":"p95_execution_ms_30","threshold":5000},{"comparator":"&lt;= downsize-safe","evidence_id":"EVID-9FFE6B7A17D42D283F900800","metric":"p99_execution_ms_30","threshold":30000}]</t>
        </is>
      </c>
      <c r="AW12" s="22" t="inlineStr">
        <is>
          <t>[{"condition":null,"dependency_type":"KNOB","ref_id":"warehouse_channel"}]</t>
        </is>
      </c>
      <c r="AX12" s="22" t="inlineStr">
        <is>
          <t>["max_clusters","min_clusters","auto_stop_minutes"]</t>
        </is>
      </c>
      <c r="AY12" s="22" t="inlineStr">
        <is>
          <t>[]</t>
        </is>
      </c>
      <c r="AZ12" s="22" t="inlineStr">
        <is>
          <t>[{"execution_state":"READY","scenario_id":"SCN-CB5E8798D5A13F523639541D","scenario_name":"Plan A — Optimize current warehouse type","step":1}]</t>
        </is>
      </c>
      <c r="BA12" s="22" t="inlineStr">
        <is>
          <t>[]</t>
        </is>
      </c>
    </row>
    <row r="13" ht="32" customHeight="1">
      <c r="A13" s="14" t="inlineStr">
        <is>
          <t>PKG-3542FB38D0CE64996A1D7C9D</t>
        </is>
      </c>
      <c r="B13" s="14" t="inlineStr">
        <is>
          <t>CAND-19E6151216E0827A2A6FA085</t>
        </is>
      </c>
      <c r="C13" s="14" t="inlineStr">
        <is>
          <t>WH-MAX-CLUSTER-ASSESS-001</t>
        </is>
      </c>
      <c r="D13" s="14" t="inlineStr">
        <is>
          <t>1234567890123456</t>
        </is>
      </c>
      <c r="E13" s="14" t="inlineStr">
        <is>
          <t>wh-synth-004</t>
        </is>
      </c>
      <c r="F13" s="15" t="inlineStr">
        <is>
          <t>ETL Heavy</t>
        </is>
      </c>
      <c r="G13" s="16" t="inlineStr">
        <is>
          <t>data-engineering@databricks.example</t>
        </is>
      </c>
      <c r="H13" s="14" t="inlineStr">
        <is>
          <t>EPOCH-E7355ACCBEF3E7B7DDB87EDA</t>
        </is>
      </c>
      <c r="I13" s="18" t="inlineStr">
        <is>
          <t>max_clusters</t>
        </is>
      </c>
      <c r="J13" s="18" t="inlineStr">
        <is>
          <t>NO_CHANGE</t>
        </is>
      </c>
      <c r="K13" s="15" t="inlineStr">
        <is>
          <t>PERFORMANCE</t>
        </is>
      </c>
      <c r="L13" s="15" t="n">
        <v>8</v>
      </c>
      <c r="M13" s="15" t="n">
        <v>8</v>
      </c>
      <c r="N13" s="15" t="inlineStr">
        <is>
          <t>No sustained saturation requiring an increase and no strong evidence for a lower ceiling.</t>
        </is>
      </c>
      <c r="O13" s="21" t="n">
        <v>0.8</v>
      </c>
      <c r="P13" s="18" t="inlineStr">
        <is>
          <t>HIGH</t>
        </is>
      </c>
      <c r="Q13" s="18" t="b">
        <v>1</v>
      </c>
      <c r="R13" s="16" t="inlineStr">
        <is>
          <t>USD</t>
        </is>
      </c>
      <c r="S13" s="18" t="inlineStr">
        <is>
          <t>NO_CHANGE</t>
        </is>
      </c>
      <c r="T13" s="19" t="n">
        <v>64000</v>
      </c>
      <c r="U13" s="19" t="n">
        <v>74769.7</v>
      </c>
      <c r="V13" s="19" t="n">
        <v>138769.7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138769.7</v>
      </c>
      <c r="AG13" s="19" t="n">
        <v>138769.7</v>
      </c>
      <c r="AH13" s="19" t="n">
        <v>138769.7</v>
      </c>
      <c r="AI13" s="18" t="b">
        <v>0</v>
      </c>
      <c r="AJ13" s="18" t="inlineStr">
        <is>
          <t>NOT_APPLIED</t>
        </is>
      </c>
      <c r="AK13" s="16" t="inlineStr">
        <is>
          <t>—</t>
        </is>
      </c>
      <c r="AL13" s="18" t="inlineStr">
        <is>
          <t>—</t>
        </is>
      </c>
      <c r="AM13" s="19" t="inlineStr">
        <is>
          <t>UNAVAILABLE</t>
        </is>
      </c>
      <c r="AN13" s="19" t="inlineStr">
        <is>
          <t>UNAVAILABLE</t>
        </is>
      </c>
      <c r="AO13" s="19" t="inlineStr">
        <is>
          <t>UNAVAILABLE</t>
        </is>
      </c>
      <c r="AP13" s="19" t="inlineStr">
        <is>
          <t>UNAVAILABLE</t>
        </is>
      </c>
      <c r="AQ13" s="18" t="inlineStr">
        <is>
          <t>—</t>
        </is>
      </c>
      <c r="AR13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13" s="22" t="inlineStr">
        <is>
          <t>{"coverage":1.0,"epoch_maturity":1.0,"sample":1.0,"signal":0.7,"stability":0.91}</t>
        </is>
      </c>
      <c r="AT13" s="22" t="inlineStr">
        <is>
          <t>["EVID-2DB66798C05363656D798225","EVID-E6918924A28E2011799B7FCB","EVID-DEFA78DE669DA4D64347ED77","EVID-011A7F44ED59741E3113CF84","EVID-BA1E532B2C41577B6EE086D9","EVID-E237AFE39A08B3673A0DF2DC","EVID-823A180D36962C7150FEB320","EVID-31544533FEDFC669EB9E511D","EVID-60346EE4CD6A756F88C9A889","EVID-10635B972051ED8C2A7BEF9D"]</t>
        </is>
      </c>
      <c r="AU13" s="22" t="inlineStr">
        <is>
          <t>{"EVID-011A7F44ED59741E3113CF84":{"comparator":"&gt;= increase signal","epoch_scope":"CURRENT","evidence_id":"EVID-011A7F44ED59741E3113CF84","interpretation":"Frequency of capacity queueing.","metric":"queued_query_pct_30","observation_window":"last 30 days within current epoch","source":"system.query.history","source_field":"waiting_at_capacity_duration_ms","threshold":5.0,"unit":"%","value":0.8},"EVID-10635B972051ED8C2A7BEF9D":{"comparator":"","epoch_scope":"CURRENT","evidence_id":"EVID-10635B972051ED8C2A7BEF9D","interpretation":"Calendar-day coverage available to the forward cost model.","metric":"cost_history_days","observation_window":"current_epoch","source":"system.billing.usage","source_field":"usage_date","threshold":null,"unit":"days","value":264},"EVID-2DB66798C05363656D798225":{"comparator":"","epoch_scope":"CURRENT","evidence_id":"EVID-2DB66798C05363656D798225","interpretation":"Configured concurrency ceiling.","metric":"max_clusters","observation_window":"current epoch","source":"system.compute.warehouses","source_field":"max_clusters","threshold":null,"unit":"value","value":8},"EVID-31544533FEDFC669EB9E511D":{"comparator":"","epoch_scope":"CURRENT","evidence_id":"EVID-31544533FEDFC669EB9E511D","interpretation":"No-change forward DBU cost forecast anchored to the current configuration epoch.","metric":"forward_dbu_cost_365d","observation_window":"forward_365d","source":"derived","source_field":"epoch-runrate-v2.7","threshold":null,"unit":"USD","value":64000.0},"EVID-60346EE4CD6A756F88C9A889":{"comparator":"","epoch_scope":"CURRENT","evidence_id":"EVID-60346EE4CD6A756F88C9A889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74769.7},"EVID-823A180D36962C7150FEB320":{"comparator":"","epoch_scope":"CURRENT","evidence_id":"EVID-823A180D36962C7150FEB320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price","threshold":null,"unit":"USD","value":56320.0},"EVID-BA1E532B2C41577B6EE086D9":{"comparator":"&gt;= evidence minimum for increase","epoch_scope":"CURRENT","evidence_id":"EVID-BA1E532B2C41577B6EE086D9","interpretation":"Queries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epoch","source":"system.query.history","source_field":"waiting_at_capacity_duration_ms","threshold":20,"unit":"queries","value":52},"EVID-DEFA78DE669DA4D64347ED77":{"comparator":"&lt;= reduce-safe","epoch_scope":"CURRENT","evidence_id":"EVID-DEFA78DE669DA4D64347ED77","interpretation":"Fraction of running time at configured maximum.","metric":"time_at_max_pct","observation_window":"current epoch","source":"system.compute.warehouse_events","source_field":"cluster_count","threshold":1.0,"unit":"%","value":12.0},"EVID-E237AFE39A08B3673A0DF2DC":{"comparator":"&gt;= increase signal","epoch_scope":"CURRENT","evidence_id":"EVID-E237AFE39A08B3673A0DF2DC","interpretation":"Severity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epoch","source":"system.query.history","source_field":"waiting_at_capacity_duration_ms","threshold":30000,"unit":"ms","value":5000},"EVID-E6918924A28E2011799B7FCB":{"comparator":"","epoch_scope":"CURRENT","evidence_id":"EVID-E6918924A28E2011799B7FCB","interpretation":"Highest observed scale level.","metric":"max_observed_clusters","observation_window":"current epoch","source":"system.compute.warehouse_events","source_field":"cluster_count","threshold":null,"unit":"clusters","value":7}}</t>
        </is>
      </c>
      <c r="AV13" s="22" t="inlineStr">
        <is>
          <t>[{"comparator":"&lt;= reduce-safe","evidence_id":"EVID-DEFA78DE669DA4D64347ED77","metric":"time_at_max_pct","threshold":1.0},{"comparator":"&gt;= increase signal","evidence_id":"EVID-011A7F44ED59741E3113CF84","metric":"queued_query_pct_30","threshold":5.0},{"comparator":"&gt;= evidence minimum for increase","evidence_id":"EVID-BA1E532B2C41577B6EE086D9","metric":"queued_queries_30","threshold":20},{"comparator":"&gt;= increase signal","evidence_id":"EVID-E237AFE39A08B3673A0DF2DC","metric":"p95_wait_capacity_ms_when_queued_30","threshold":30000}]</t>
        </is>
      </c>
      <c r="AW13" s="22" t="inlineStr">
        <is>
          <t>[{"condition":null,"dependency_type":"KNOB","ref_id":"warehouse_size"}]</t>
        </is>
      </c>
      <c r="AX13" s="22" t="inlineStr">
        <is>
          <t>[]</t>
        </is>
      </c>
      <c r="AY13" s="22" t="inlineStr">
        <is>
          <t>[]</t>
        </is>
      </c>
      <c r="AZ13" s="22" t="inlineStr">
        <is>
          <t>[]</t>
        </is>
      </c>
      <c r="BA13" s="22" t="inlineStr">
        <is>
          <t>[]</t>
        </is>
      </c>
    </row>
    <row r="14" ht="32" customHeight="1">
      <c r="A14" s="14" t="inlineStr">
        <is>
          <t>PKG-3542FB38D0CE64996A1D7C9D</t>
        </is>
      </c>
      <c r="B14" s="14" t="inlineStr">
        <is>
          <t>CAND-CF1FEEFF3DB94CBE4A3A7DCC</t>
        </is>
      </c>
      <c r="C14" s="14" t="inlineStr">
        <is>
          <t>WH-MIN-CLUSTER-ASSESS-001</t>
        </is>
      </c>
      <c r="D14" s="14" t="inlineStr">
        <is>
          <t>1234567890123456</t>
        </is>
      </c>
      <c r="E14" s="14" t="inlineStr">
        <is>
          <t>wh-synth-004</t>
        </is>
      </c>
      <c r="F14" s="15" t="inlineStr">
        <is>
          <t>ETL Heavy</t>
        </is>
      </c>
      <c r="G14" s="16" t="inlineStr">
        <is>
          <t>data-engineering@databricks.example</t>
        </is>
      </c>
      <c r="H14" s="14" t="inlineStr">
        <is>
          <t>EPOCH-E7355ACCBEF3E7B7DDB87EDA</t>
        </is>
      </c>
      <c r="I14" s="18" t="inlineStr">
        <is>
          <t>min_clusters</t>
        </is>
      </c>
      <c r="J14" s="18" t="inlineStr">
        <is>
          <t>NO_CHANGE</t>
        </is>
      </c>
      <c r="K14" s="15" t="inlineStr">
        <is>
          <t>COST</t>
        </is>
      </c>
      <c r="L14" s="15" t="n">
        <v>2</v>
      </c>
      <c r="M14" s="15" t="n">
        <v>2</v>
      </c>
      <c r="N14" s="15" t="inlineStr">
        <is>
          <t>Minimum-cluster reduction is not sufficiently supported by current-epoch evidence.</t>
        </is>
      </c>
      <c r="O14" s="21" t="n">
        <v>0.8</v>
      </c>
      <c r="P14" s="18" t="inlineStr">
        <is>
          <t>HIGH</t>
        </is>
      </c>
      <c r="Q14" s="18" t="b">
        <v>1</v>
      </c>
      <c r="R14" s="16" t="inlineStr">
        <is>
          <t>USD</t>
        </is>
      </c>
      <c r="S14" s="18" t="inlineStr">
        <is>
          <t>NO_CHANGE</t>
        </is>
      </c>
      <c r="T14" s="19" t="n">
        <v>64000</v>
      </c>
      <c r="U14" s="19" t="n">
        <v>74769.7</v>
      </c>
      <c r="V14" s="19" t="n">
        <v>138769.7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138769.7</v>
      </c>
      <c r="AG14" s="19" t="n">
        <v>138769.7</v>
      </c>
      <c r="AH14" s="19" t="n">
        <v>138769.7</v>
      </c>
      <c r="AI14" s="18" t="b">
        <v>0</v>
      </c>
      <c r="AJ14" s="18" t="inlineStr">
        <is>
          <t>NOT_APPLIED</t>
        </is>
      </c>
      <c r="AK14" s="16" t="inlineStr">
        <is>
          <t>—</t>
        </is>
      </c>
      <c r="AL14" s="18" t="inlineStr">
        <is>
          <t>—</t>
        </is>
      </c>
      <c r="AM14" s="19" t="inlineStr">
        <is>
          <t>UNAVAILABLE</t>
        </is>
      </c>
      <c r="AN14" s="19" t="inlineStr">
        <is>
          <t>UNAVAILABLE</t>
        </is>
      </c>
      <c r="AO14" s="19" t="inlineStr">
        <is>
          <t>UNAVAILABLE</t>
        </is>
      </c>
      <c r="AP14" s="19" t="inlineStr">
        <is>
          <t>UNAVAILABLE</t>
        </is>
      </c>
      <c r="AQ14" s="18" t="inlineStr">
        <is>
          <t>—</t>
        </is>
      </c>
      <c r="AR14" s="15" t="inlineStr">
        <is>
          <t>time_at_min_pct &gt;= reduction signal 25.0; queued_query_pct_30 &lt;= safe 0.5; p95_wait_capacity_ms_when_queued_30 &lt;= safe 5000; time_at_max_pct &gt;= blocker 20.0</t>
        </is>
      </c>
      <c r="AS14" s="22" t="inlineStr">
        <is>
          <t>{"coverage":1.0,"epoch_maturity":1.0,"sample":1.0,"signal":0.7,"stability":0.91}</t>
        </is>
      </c>
      <c r="AT14" s="22" t="inlineStr">
        <is>
          <t>["EVID-008E22AC1569A178FD5BB0BB","EVID-B6644BF4C662B07A42FBCE9B","EVID-5DF889A28B3C24819F832003","EVID-4732E4D4468FD04336EAA389","EVID-D875C0624A470AC0E77CBF38","EVID-823A180D36962C7150FEB320","EVID-31544533FEDFC669EB9E511D","EVID-60346EE4CD6A756F88C9A889","EVID-10635B972051ED8C2A7BEF9D"]</t>
        </is>
      </c>
      <c r="AU14" s="22" t="inlineStr">
        <is>
          <t>{"EVID-008E22AC1569A178FD5BB0BB":{"comparator":"","epoch_scope":"CURRENT","evidence_id":"EVID-008E22AC1569A178FD5BB0BB","interpretation":"Configured minimum scale.","metric":"min_clusters","observation_window":"current epoch","source":"system.compute.warehouses","source_field":"min_clusters","threshold":null,"unit":"value","value":2},"EVID-10635B972051ED8C2A7BEF9D":{"comparator":"","epoch_scope":"CURRENT","evidence_id":"EVID-10635B972051ED8C2A7BEF9D","interpretation":"Calendar-day coverage available to the forward cost model.","metric":"cost_history_days","observation_window":"current_epoch","source":"system.billing.usage","source_field":"usage_date","threshold":null,"unit":"days","value":264},"EVID-31544533FEDFC669EB9E511D":{"comparator":"","epoch_scope":"CURRENT","evidence_id":"EVID-31544533FEDFC669EB9E511D","interpretation":"No-change forward DBU cost forecast anchored to the current configuration epoch.","metric":"forward_dbu_cost_365d","observation_window":"forward_365d","source":"derived","source_field":"epoch-runrate-v2.7","threshold":null,"unit":"USD","value":64000.0},"EVID-4732E4D4468FD04336EAA389":{"comparator":"&lt;= safe","epoch_scope":"CURRENT","evidence_id":"EVID-4732E4D4468FD04336EAA389","interpretation":"Queue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epoch","source":"system.query.history","source_field":"waiting_at_capacity_duration_ms","threshold":5000,"unit":"ms","value":5000},"EVID-5DF889A28B3C24819F832003":{"comparator":"&lt;= safe","epoch_scope":"CURRENT","evidence_id":"EVID-5DF889A28B3C24819F832003","interpretation":"Queue guardrail before reducing baseline capacity.","metric":"queued_query_pct_30","observation_window":"last 30 days within current epoch","source":"system.query.history","source_field":"waiting_at_capacity_duration_ms","threshold":0.5,"unit":"%","value":0.8},"EVID-60346EE4CD6A756F88C9A889":{"comparator":"","epoch_scope":"CURRENT","evidence_id":"EVID-60346EE4CD6A756F88C9A889","interpretation":"Forward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74769.7},"EVID-823A180D36962C7150FEB320":{"comparator":"","epoch_scope":"CURRENT","evidence_id":"EVID-823A180D36962C7150FEB320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price","threshold":null,"unit":"USD","value":56320.0},"EVID-B6644BF4C662B07A42FBCE9B":{"comparator":"&gt;= reduction signal","epoch_scope":"CURRENT","evidence_id":"EVID-B6644BF4C662B07A42FBCE9B","interpretation":"How often the warehouse sits at its minimum.","metric":"time_at_min_pct","observation_window":"current epoch","source":"system.compute.warehouse_events","source_field":"cluster_count","threshold":25.0,"unit":"%","value":25.0},"EVID-D875C0624A470AC0E77CBF38":{"comparator":"&gt;= blocker","epoch_scope":"CURRENT","evidence_id":"EVID-D875C0624A470AC0E77CBF38","interpretation":"Sustained scale pressure blocks minimum reduction.","metric":"time_at_max_pct","observation_window":"current epoch","source":"system.compute.warehouse_events","source_field":"cluster_count","threshold":20.0,"unit":"%","value":12.0}}</t>
        </is>
      </c>
      <c r="AV14" s="22" t="inlineStr">
        <is>
          <t>[{"comparator":"&gt;= reduction signal","evidence_id":"EVID-B6644BF4C662B07A42FBCE9B","metric":"time_at_min_pct","threshold":25.0},{"comparator":"&lt;= safe","evidence_id":"EVID-5DF889A28B3C24819F832003","metric":"queued_query_pct_30","threshold":0.5},{"comparator":"&lt;= safe","evidence_id":"EVID-4732E4D4468FD04336EAA389","metric":"p95_wait_capacity_ms_when_queued_30","threshold":5000},{"comparator":"&gt;= blocker","evidence_id":"EVID-D875C0624A470AC0E77CBF38","metric":"time_at_max_pct","threshold":20.0}]</t>
        </is>
      </c>
      <c r="AW14" s="22" t="inlineStr">
        <is>
          <t>[{"condition":null,"dependency_type":"KNOB","ref_id":"warehouse_size"},{"condition":null,"dependency_type":"KNOB","ref_id":"max_clusters"}]</t>
        </is>
      </c>
      <c r="AX14" s="22" t="inlineStr">
        <is>
          <t>[]</t>
        </is>
      </c>
      <c r="AY14" s="22" t="inlineStr">
        <is>
          <t>["QUEUE_PRESSURE_PRESENT"]</t>
        </is>
      </c>
      <c r="AZ14" s="22" t="inlineStr">
        <is>
          <t>[]</t>
        </is>
      </c>
      <c r="BA14" s="22" t="inlineStr">
        <is>
          <t>[]</t>
        </is>
      </c>
    </row>
    <row r="15" ht="32" customHeight="1">
      <c r="A15" s="14" t="inlineStr">
        <is>
          <t>PKG-3542FB38D0CE64996A1D7C9D</t>
        </is>
      </c>
      <c r="B15" s="14" t="inlineStr">
        <is>
          <t>CAND-A122082B3BB2FB0568C91BF4</t>
        </is>
      </c>
      <c r="C15" s="14" t="inlineStr">
        <is>
          <t>WH-AUTOSTOP-REDUCE-001</t>
        </is>
      </c>
      <c r="D15" s="14" t="inlineStr">
        <is>
          <t>1234567890123456</t>
        </is>
      </c>
      <c r="E15" s="14" t="inlineStr">
        <is>
          <t>wh-synth-004</t>
        </is>
      </c>
      <c r="F15" s="15" t="inlineStr">
        <is>
          <t>ETL Heavy</t>
        </is>
      </c>
      <c r="G15" s="16" t="inlineStr">
        <is>
          <t>data-engineering@databricks.example</t>
        </is>
      </c>
      <c r="H15" s="14" t="inlineStr">
        <is>
          <t>EPOCH-E7355ACCBEF3E7B7DDB87EDA</t>
        </is>
      </c>
      <c r="I15" s="18" t="inlineStr">
        <is>
          <t>auto_stop_minutes</t>
        </is>
      </c>
      <c r="J15" s="18" t="inlineStr">
        <is>
          <t>ACTIONABLE</t>
        </is>
      </c>
      <c r="K15" s="15" t="inlineStr">
        <is>
          <t>COST</t>
        </is>
      </c>
      <c r="L15" s="15" t="n">
        <v>60</v>
      </c>
      <c r="M15" s="15" t="n">
        <v>30</v>
      </c>
      <c r="N15" s="15" t="inlineStr">
        <is>
          <t>Idle-gap evidence supports a lower auto-stop target.</t>
        </is>
      </c>
      <c r="O15" s="21" t="n">
        <v>0.93</v>
      </c>
      <c r="P15" s="18" t="inlineStr">
        <is>
          <t>HIGH</t>
        </is>
      </c>
      <c r="Q15" s="18" t="b">
        <v>1</v>
      </c>
      <c r="R15" s="16" t="inlineStr">
        <is>
          <t>USD</t>
        </is>
      </c>
      <c r="S15" s="18" t="inlineStr">
        <is>
          <t>SAVINGS</t>
        </is>
      </c>
      <c r="T15" s="19" t="n">
        <v>64000</v>
      </c>
      <c r="U15" s="19" t="n">
        <v>74769.7</v>
      </c>
      <c r="V15" s="19" t="n">
        <v>138769.7</v>
      </c>
      <c r="W15" s="19" t="n">
        <v>1772.31</v>
      </c>
      <c r="X15" s="19" t="n">
        <v>2658.46</v>
      </c>
      <c r="Y15" s="19" t="n">
        <v>3544.62</v>
      </c>
      <c r="Z15" s="19" t="n">
        <v>2070.55</v>
      </c>
      <c r="AA15" s="19" t="n">
        <v>3105.82</v>
      </c>
      <c r="AB15" s="19" t="n">
        <v>4141.09</v>
      </c>
      <c r="AC15" s="19" t="n">
        <v>3842.86</v>
      </c>
      <c r="AD15" s="19" t="n">
        <v>5764.28</v>
      </c>
      <c r="AE15" s="19" t="n">
        <v>7685.71</v>
      </c>
      <c r="AF15" s="19" t="n">
        <v>131083.99</v>
      </c>
      <c r="AG15" s="19" t="n">
        <v>133005.42</v>
      </c>
      <c r="AH15" s="19" t="n">
        <v>134926.84</v>
      </c>
      <c r="AI15" s="18" t="b">
        <v>0</v>
      </c>
      <c r="AJ15" s="18" t="inlineStr">
        <is>
          <t>NOT_APPLIED</t>
        </is>
      </c>
      <c r="AK15" s="16" t="inlineStr">
        <is>
          <t>—</t>
        </is>
      </c>
      <c r="AL15" s="18" t="inlineStr">
        <is>
          <t>—</t>
        </is>
      </c>
      <c r="AM15" s="19" t="inlineStr">
        <is>
          <t>UNAVAILABLE</t>
        </is>
      </c>
      <c r="AN15" s="19" t="inlineStr">
        <is>
          <t>UNAVAILABLE</t>
        </is>
      </c>
      <c r="AO15" s="19" t="inlineStr">
        <is>
          <t>UNAVAILABLE</t>
        </is>
      </c>
      <c r="AP15" s="19" t="inlineStr">
        <is>
          <t>UNAVAILABLE</t>
        </is>
      </c>
      <c r="AQ15" s="18" t="inlineStr">
        <is>
          <t>—</t>
        </is>
      </c>
      <c r="AR15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15" s="22" t="inlineStr">
        <is>
          <t>{"coverage":1.0,"epoch_maturity":1.0,"sample":1.0,"signal":1.0,"stability":0.91}</t>
        </is>
      </c>
      <c r="AT15" s="22" t="inlineStr">
        <is>
          <t>["EVID-5E15646755CA81DC480F12E3","EVID-DA03D70120DE2B052CB67DE3","EVID-ADB79C6C27705809054C828E","EVID-11111D2C5475DC38E61DFA06","EVID-878FBB5F95499DF6B2898334","EVID-F606E713FACB0671C4DF6405","EVID-4AA93F65650373D3FBE29C04","EVID-5975B1FAAF8D55B8BE39B16A","EVID-823A180D36962C7150FEB320","EVID-31544533FEDFC669EB9E511D","EVID-60346EE4CD6A756F88C9A889","EVID-10635B972051ED8C2A7BEF9D"]</t>
        </is>
      </c>
      <c r="AU15" s="22" t="inlineStr">
        <is>
          <t>{"EVID-10635B972051ED8C2A7BEF9D":{"comparator":"","epoch_scope":"CURRENT","evidence_id":"EVID-10635B972051ED8C2A7BEF9D","interpretation":"Calendar-day coverage available to the forward cost model.","metric":"cost_history_days","observation_window":"current_epoch","source":"system.billing.usage","source_field":"usage_date","threshold":null,"unit":"days","value":264},"EVID-11111D2C5475DC38E61DFA06":{"comparator":"&gt;= evidence minimum","epoch_scope":"CURRENT","evidence_id":"EVID-11111D2C5475DC38E61DFA06","interpretation":"Observed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130000.0},"EVID-31544533FEDFC669EB9E511D":{"comparator":"","epoch_scope":"CURRENT","evidence_id":"EVID-31544533FEDFC669EB9E511D","interpretation":"No-change forward DBU cost forecast anchored to the current configuration epoch.","metric":"forward_dbu_cost_365d","observation_window":"forward_365d","source":"derived","source_field":"epoch-runrate-v2.7","threshold":null,"unit":"USD","value":64000.0},"EVID-4AA93F65650373D3FBE29C04":{"comparator":"&gt;= cold-start blocker","epoch_scope":"CURRENT","evidence_id":"EVID-4AA93F65650373D3FBE29C04","interpretation":"Restart frequency guardrail.","metric":"starts_per_active_day_30","observation_window":"last 30 days within current epoch","source":"system.compute.warehouse_events","source_field":"event_type=STARTING","threshold":0.5,"unit":"starts/day","value":0.1667},"EVID-5975B1FAAF8D55B8BE39B16A":{"comparator":"","epoch_scope":"CURRENT","evidence_id":"EVID-5975B1FAAF8D55B8BE39B16A","interpretation":"Estimated additional off-time at the candidate target.","metric":"estimated_additional_off_minutes","observation_window":"current epoch","source":"system.query.history","source_field":"inter-query gap","threshold":null,"unit":"minutes","value":3600.0},"EVID-5E15646755CA81DC480F12E3":{"comparator":"&gt; target","epoch_scope":"CURRENT","evidence_id":"EVID-5E15646755CA81DC480F12E3","interpretation":"Current idle termination setting versus deterministic policy target.","metric":"auto_stop_minutes","observation_window":"current epoch","source":"system.compute.warehouses","source_field":"auto_stop_minutes","threshold":30,"unit":"minutes","value":60},"EVID-60346EE4CD6A756F88C9A889":{"comparator":"","epoch_scope":"CURRENT","evidence_id":"EVID-60346EE4CD6A756F88C9A889","interpretation":"Forward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74769.7},"EVID-823A180D36962C7150FEB320":{"comparator":"","epoch_scope":"CURRENT","evidence_id":"EVID-823A180D36962C7150FEB320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price","threshold":null,"unit":"USD","value":56320.0},"EVID-878FBB5F95499DF6B2898334":{"comparator":"","epoch_scope":"CURRENT","evidence_id":"EVID-878FBB5F95499DF6B2898334","interpretation":"Queries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epoch","source":"system.query.history","source_field":"waiting_for_compute_duration_ms","threshold":null,"unit":"queries","value":5},"EVID-ADB79C6C27705809054C828E":{"comparator":"&gt;= evidence minimum","epoch_scope":"CURRENT","evidence_id":"EVID-ADB79C6C27705809054C828E","interpretation":"Non-overlapping inter-query gap sample supporting the auto-stop counterfactual.","metric":"idle_gap_count","observation_window":"current epoch","source":"system.query.history","source_field":"start_time/end_time","threshold":30,"unit":"gaps","value":260},"EVID-DA03D70120DE2B052CB67DE3":{"comparator":"","epoch_scope":"CURRENT","evidence_id":"EVID-DA03D70120DE2B052CB67DE3","interpretation":"Activity density selects the auto-stop target.","metric":"queries_per_active_day_30","observation_window":"last 30 days within current epoch","source":"system.query.history","source_field":"start_time","threshold":null,"unit":"queries/day","value":216.67},"EVID-F606E713FACB0671C4DF6405":{"comparator":"&gt;= cold-start blocker","epoch_scope":"CURRENT","evidence_id":"EVID-F606E713FACB0671C4DF6405","interpretation":"Cold-start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epoch","source":"system.query.history","source_field":"waiting_for_compute_duration_ms","threshold":60000,"unit":"ms","value":3500}}</t>
        </is>
      </c>
      <c r="AV15" s="22" t="inlineStr">
        <is>
          <t>[{"comparator":"&gt; target","evidence_id":"EVID-5E15646755CA81DC480F12E3","metric":"auto_stop_minutes","threshold":30},{"comparator":"&gt;= evidence minimum","evidence_id":"EVID-ADB79C6C27705809054C828E","metric":"idle_gap_count","threshold":30},{"comparator":"&gt;= evidence minimum","evidence_id":"EVID-11111D2C5475DC38E61DFA06","metric":"cluster_minutes","threshold":1.0},{"comparator":"&gt;= cold-start blocker","evidence_id":"EVID-F606E713FACB0671C4DF6405","metric":"p95_wait_compute_ms_when_waited_30","threshold":60000},{"comparator":"&gt;= cold-start blocker","evidence_id":"EVID-4AA93F65650373D3FBE29C04","metric":"starts_per_active_day_30","threshold":0.5}]</t>
        </is>
      </c>
      <c r="AW15" s="22" t="inlineStr">
        <is>
          <t>[{"condition":null,"dependency_type":"KNOB","ref_id":"min_clusters"}]</t>
        </is>
      </c>
      <c r="AX15" s="22" t="inlineStr">
        <is>
          <t>[]</t>
        </is>
      </c>
      <c r="AY15" s="22" t="inlineStr">
        <is>
          <t>[]</t>
        </is>
      </c>
      <c r="AZ15" s="22" t="inlineStr">
        <is>
          <t>[{"execution_state":"PENDING_REEVALUATION","scenario_id":"SCN-CB5E8798D5A13F523639541D","scenario_name":"Plan A — Optimize current warehouse type","step":2}]</t>
        </is>
      </c>
      <c r="BA15" s="22" t="inlineStr">
        <is>
          <t>[]</t>
        </is>
      </c>
    </row>
    <row r="16" ht="32" customHeight="1">
      <c r="A16" s="14" t="inlineStr">
        <is>
          <t>PKG-3542FB38D0CE64996A1D7C9D</t>
        </is>
      </c>
      <c r="B16" s="14" t="inlineStr">
        <is>
          <t>CAND-335D8BD4AAC3CB041A5DB0CB</t>
        </is>
      </c>
      <c r="C16" s="14" t="inlineStr">
        <is>
          <t>WH-SERVERLESS-MIGRATE-001</t>
        </is>
      </c>
      <c r="D16" s="14" t="inlineStr">
        <is>
          <t>1234567890123456</t>
        </is>
      </c>
      <c r="E16" s="14" t="inlineStr">
        <is>
          <t>wh-synth-004</t>
        </is>
      </c>
      <c r="F16" s="15" t="inlineStr">
        <is>
          <t>ETL Heavy</t>
        </is>
      </c>
      <c r="G16" s="16" t="inlineStr">
        <is>
          <t>data-engineering@databricks.example</t>
        </is>
      </c>
      <c r="H16" s="14" t="inlineStr">
        <is>
          <t>EPOCH-E7355ACCBEF3E7B7DDB87EDA</t>
        </is>
      </c>
      <c r="I16" s="18" t="inlineStr">
        <is>
          <t>warehouse_type</t>
        </is>
      </c>
      <c r="J16" s="18" t="inlineStr">
        <is>
          <t>TEST_REQUIRED</t>
        </is>
      </c>
      <c r="K16" s="15" t="inlineStr">
        <is>
          <t>MIGRATION, COST_AND_PERFORMANCE, OPERATIONS</t>
        </is>
      </c>
      <c r="L16" s="15" t="inlineStr">
        <is>
          <t>PRO</t>
        </is>
      </c>
      <c r="M16" s="15" t="inlineStr">
        <is>
          <t>SERVERLESS</t>
        </is>
      </c>
      <c r="N16" s="15" t="inlineStr">
        <is>
          <t>Serverless is evaluated as a separate migration experiment with a pre-canary DBU/AWS counterfactual and deterministic compatibility gate.</t>
        </is>
      </c>
      <c r="O16" s="21" t="n">
        <v>0.78</v>
      </c>
      <c r="P16" s="18" t="inlineStr">
        <is>
          <t>MEDIUM</t>
        </is>
      </c>
      <c r="Q16" s="18" t="b">
        <v>1</v>
      </c>
      <c r="R16" s="16" t="inlineStr">
        <is>
          <t>USD</t>
        </is>
      </c>
      <c r="S16" s="18" t="inlineStr">
        <is>
          <t>COST_INCREASE</t>
        </is>
      </c>
      <c r="T16" s="19" t="n">
        <v>64000</v>
      </c>
      <c r="U16" s="19" t="n">
        <v>74769.7</v>
      </c>
      <c r="V16" s="19" t="n">
        <v>138769.7</v>
      </c>
      <c r="W16" s="19" t="n">
        <v>-116656.57</v>
      </c>
      <c r="X16" s="19" t="n">
        <v>-103752.53</v>
      </c>
      <c r="Y16" s="19" t="n">
        <v>38191.92</v>
      </c>
      <c r="Z16" s="19" t="n">
        <v>74769.7</v>
      </c>
      <c r="AA16" s="19" t="n">
        <v>74769.7</v>
      </c>
      <c r="AB16" s="19" t="n">
        <v>74769.7</v>
      </c>
      <c r="AC16" s="19" t="n">
        <v>-41886.87</v>
      </c>
      <c r="AD16" s="19" t="n">
        <v>-28982.83</v>
      </c>
      <c r="AE16" s="19" t="n">
        <v>112961.62</v>
      </c>
      <c r="AF16" s="19" t="n">
        <v>25808.08</v>
      </c>
      <c r="AG16" s="19" t="n">
        <v>167752.53</v>
      </c>
      <c r="AH16" s="19" t="n">
        <v>180656.57</v>
      </c>
      <c r="AI16" s="18" t="b">
        <v>0</v>
      </c>
      <c r="AJ16" s="18" t="inlineStr">
        <is>
          <t>NOT_APPLIED</t>
        </is>
      </c>
      <c r="AK16" s="16" t="inlineStr">
        <is>
          <t>—</t>
        </is>
      </c>
      <c r="AL16" s="18" t="inlineStr">
        <is>
          <t>—</t>
        </is>
      </c>
      <c r="AM16" s="19" t="inlineStr">
        <is>
          <t>UNAVAILABLE</t>
        </is>
      </c>
      <c r="AN16" s="19" t="inlineStr">
        <is>
          <t>UNAVAILABLE</t>
        </is>
      </c>
      <c r="AO16" s="19" t="inlineStr">
        <is>
          <t>UNAVAILABLE</t>
        </is>
      </c>
      <c r="AP16" s="19" t="inlineStr">
        <is>
          <t>UNAVAILABLE</t>
        </is>
      </c>
      <c r="AQ16" s="18" t="inlineStr">
        <is>
          <t>—</t>
        </is>
      </c>
      <c r="AR16" s="15" t="inlineStr">
        <is>
          <t>No numeric threshold</t>
        </is>
      </c>
      <c r="AS16" s="22" t="inlineStr">
        <is>
          <t>{"coverage":1.0,"epoch_maturity":1.0,"sample":1.0,"signal":1.0,"stability":0.91}</t>
        </is>
      </c>
      <c r="AT16" s="22" t="inlineStr">
        <is>
          <t>["EVID-B0B89C04931F9EF778B52C38","EVID-6E6FA15129845B3E6AA53F0D","EVID-C01955F26C5D765DE5852F5C","EVID-D20432463AC399D3560B9BC0","EVID-4ABB2B728EAFAC6FBE30DB98","EVID-42CBBF164E0D9C6045421154","EVID-FEE2FD24549E680CEC9BF082","EVID-023EC964F3B265506A960264","EVID-E76BD458403FECA264E0C895","EVID-C5492D968DBE0CBA760D384E","EVID-DD1C35D1D57DDC4796710BDC","EVID-9DEB51B75BB99243343010BD","EVID-3476CE9B58C832413C9CDD86","EVID-823A180D36962C7150FEB320","EVID-31544533FEDFC669EB9E511D","EVID-60346EE4CD6A756F88C9A889","EVID-10635B972051ED8C2A7BEF9D"]</t>
        </is>
      </c>
      <c r="AU16" s="22" t="inlineStr">
        <is>
          <t>{"EVID-023EC964F3B265506A960264":{"comparator":"","epoch_scope":"CURRENT","evidence_id":"EVID-023EC964F3B265506A960264","interpretation":"Alert workload mix context.","metric":"alert_queries_30","observation_window":"last 30 days within current epoch","source":"system.query.history","source_field":"query_source.alert_id","threshold":null,"unit":"queries","value":0},"EVID-10635B972051ED8C2A7BEF9D":{"comparator":"","epoch_scope":"CURRENT","evidence_id":"EVID-10635B972051ED8C2A7BEF9D","interpretation":"Calendar-day coverage available to the forward cost model.","metric":"cost_history_days","observation_window":"current_epoch","source":"system.billing.usage","source_field":"usage_date","threshold":null,"unit":"days","value":264},"EVID-31544533FEDFC669EB9E511D":{"comparator":"","epoch_scope":"CURRENT","evidence_id":"EVID-31544533FEDFC669EB9E511D","interpretation":"No-change forward DBU cost forecast anchored to the current configuration epoch.","metric":"forward_dbu_cost_365d","observation_window":"forward_365d","source":"derived","source_field":"epoch-runrate-v2.7","threshold":null,"unit":"USD","value":64000.0},"EVID-3476CE9B58C832413C9CDD86":{"comparator":"","epoch_scope":"CURRENT","evidence_id":"EVID-3476CE9B58C832413C9CDD86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only)","threshold":null,"unit":"queries","value":0},"EVID-42CBBF164E0D9C6045421154":{"comparator":"","epoch_scope":"CURRENT","evidence_id":"EVID-42CBBF164E0D9C6045421154","interpretation":"Notebook workload mix context.","metric":"notebook_queries_30","observation_window":"last 30 days within current epoch","source":"system.query.history","source_field":"query_source.notebook_id","threshold":null,"unit":"queries","value":0},"EVID-4ABB2B728EAFAC6FBE30DB98":{"comparator":"","epoch_scope":"CURRENT","evidence_id":"EVID-4ABB2B728EAFAC6FBE30DB98","interpretation":"Job workload mix context.","metric":"job_queries_30","observation_window":"last 30 days within current epoch","source":"system.query.history","source_field":"query_source.job_info.job_id","threshold":null,"unit":"queries","value":4875},"EVID-60346EE4CD6A756F88C9A889":{"comparator":"","epoch_scope":"CURRENT","evidence_id":"EVID-60346EE4CD6A756F88C9A889","interpretation":"Forward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74769.7},"EVID-6E6FA15129845B3E6AA53F0D":{"comparator":"","epoch_scope":"CURRENT","evidence_id":"EVID-6E6FA15129845B3E6AA53F0D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days","source":"system.billing.usage","source_field":"product_features.is_serverless","threshold":null,"unit":"%","value":0.0},"EVID-823A180D36962C7150FEB320":{"comparator":"","epoch_scope":"CURRENT","evidence_id":"EVID-823A180D36962C7150FEB320","interpretation":"Observed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price","threshold":null,"unit":"USD","value":56320.0},"EVID-9DEB51B75BB99243343010BD":{"comparator":"","epoch_scope":"CURRENT","evidence_id":"EVID-9DEB51B75BB99243343010BD","interpretation":"Coverage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epoch","source":"system.query.history","source_field":"statement_text","threshold":null,"unit":"%","value":100.0},"EVID-B0B89C04931F9EF778B52C38":{"comparator":"","epoch_scope":"CURRENT","evidence_id":"EVID-B0B89C04931F9EF778B52C38","interpretation":"Current warehouse type.","metric":"warehouse_type","observation_window":"current epoch","source":"system.compute.warehouses","source_field":"warehouse_type","threshold":null,"unit":"value","value":"PRO"},"EVID-C01955F26C5D765DE5852F5C":{"comparator":"","epoch_scope":"CURRENT","evidence_id":"EVID-C01955F26C5D765DE5852F5C","interpretation":"Query-tag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epoch","source":"system.query.history","source_field":"query_tags","threshold":null,"unit":"%","value":70.0},"EVID-C5492D968DBE0CBA760D384E":{"comparator":"","epoch_scope":"CURRENT","evidence_id":"EVID-C5492D968DBE0CBA760D384E","interpretation":"Power BI client workload mix context.","metric":"power_bi_queries_30","observation_window":"last 30 days within current epoch","source":"system.query.history","source_field":"client_application","threshold":null,"unit":"queries","value":0},"EVID-D20432463AC399D3560B9BC0":{"comparator":"","epoch_scope":"CURRENT","evidence_id":"EVID-D20432463AC399D3560B9BC0","interpretation":"Dashboard workload mix context.","metric":"dashboard_queries_30","observation_window":"last 30 days within current epoch","source":"system.query.history","source_field":"query_source.dashboard_id","threshold":null,"unit":"queries","value":0},"EVID-DD1C35D1D57DDC4796710BDC":{"comparator":"","epoch_scope":"CURRENT","evidence_id":"EVID-DD1C35D1D57DDC4796710BDC","interpretation":"Tableau client workload mix context.","metric":"tableau_queries_30","observation_window":"last 30 days within current epoch","source":"system.query.history","source_field":"client_application","threshold":null,"unit":"queries","value":0},"EVID-E76BD458403FECA264E0C895":{"comparator":"","epoch_scope":"CURRENT","evidence_id":"EVID-E76BD458403FECA264E0C895","interpretation":"Databricks SQL editor/query workload mix context.","metric":"sql_editor_queries_30","observation_window":"last 30 days within current epoch","source":"system.query.history","source_field":"query_source.sql_query_id","threshold":null,"unit":"queries","value":520},"EVID-FEE2FD24549E680CEC9BF082":{"comparator":"","epoch_scope":"CURRENT","evidence_id":"EVID-FEE2FD24549E680CEC9BF082","interpretation":"Genie workload mix context.","metric":"genie_queries_30","observation_window":"last 30 days within current epoch","source":"system.query.history","source_field":"query_source.genie_space_id","threshold":null,"unit":"queries","value":0}}</t>
        </is>
      </c>
      <c r="AV16" s="22" t="inlineStr">
        <is>
          <t>[]</t>
        </is>
      </c>
      <c r="AW16" s="22" t="inlineStr">
        <is>
          <t>[]</t>
        </is>
      </c>
      <c r="AX16" s="22" t="inlineStr">
        <is>
          <t>["warehouse_size","max_clusters","min_clusters","auto_stop_minutes"]</t>
        </is>
      </c>
      <c r="AY16" s="22" t="inlineStr">
        <is>
          <t>["A_B_COST_PERFORMANCE_VALIDATION_REQUIRED"]</t>
        </is>
      </c>
      <c r="AZ16" s="22" t="inlineStr">
        <is>
          <t>[{"execution_state":"READY_FOR_CANARY","scenario_id":"SCN-AF126D31FABFB5905E6640A4","scenario_name":"Plan B — Serverless migration experiment","step":2}]</t>
        </is>
      </c>
      <c r="BA16" s="22" t="inlineStr">
        <is>
          <t>[]</t>
        </is>
      </c>
    </row>
    <row r="17" ht="32" customHeight="1">
      <c r="A17" s="14" t="inlineStr">
        <is>
          <t>PKG-C269EAEEE79C014B6AC9A50D</t>
        </is>
      </c>
      <c r="B17" s="14" t="inlineStr">
        <is>
          <t>CAND-B2CDD1956666E75CF94834A6</t>
        </is>
      </c>
      <c r="C17" s="14" t="inlineStr">
        <is>
          <t>WH-CHANNEL-CURRENT-001</t>
        </is>
      </c>
      <c r="D17" s="14" t="inlineStr">
        <is>
          <t>1234567890123456</t>
        </is>
      </c>
      <c r="E17" s="14" t="inlineStr">
        <is>
          <t>wh-synth-006</t>
        </is>
      </c>
      <c r="F17" s="15" t="inlineStr">
        <is>
          <t>Executive Dashboards</t>
        </is>
      </c>
      <c r="G17" s="16" t="inlineStr">
        <is>
          <t>exec-analytics@databricks.example</t>
        </is>
      </c>
      <c r="H17" s="14" t="inlineStr">
        <is>
          <t>EPOCH-CE0E206F4992054FD317289A</t>
        </is>
      </c>
      <c r="I17" s="18" t="inlineStr">
        <is>
          <t>warehouse_channel</t>
        </is>
      </c>
      <c r="J17" s="18" t="inlineStr">
        <is>
          <t>NO_CHANGE</t>
        </is>
      </c>
      <c r="K17" s="15" t="inlineStr">
        <is>
          <t>STABILITY</t>
        </is>
      </c>
      <c r="L17" s="15" t="inlineStr">
        <is>
          <t>CURRENT</t>
        </is>
      </c>
      <c r="M17" s="15" t="inlineStr">
        <is>
          <t>CURRENT</t>
        </is>
      </c>
      <c r="N17" s="15" t="inlineStr">
        <is>
          <t>No channel change indicated.</t>
        </is>
      </c>
      <c r="O17" s="21" t="n">
        <v>0.8</v>
      </c>
      <c r="P17" s="18" t="inlineStr">
        <is>
          <t>HIGH</t>
        </is>
      </c>
      <c r="Q17" s="18" t="b">
        <v>1</v>
      </c>
      <c r="R17" s="16" t="inlineStr">
        <is>
          <t>USD</t>
        </is>
      </c>
      <c r="S17" s="18" t="inlineStr">
        <is>
          <t>NO_CHANGE</t>
        </is>
      </c>
      <c r="T17" s="19" t="n">
        <v>48000</v>
      </c>
      <c r="U17" s="19" t="n">
        <v>21285.98</v>
      </c>
      <c r="V17" s="19" t="n">
        <v>69285.98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69285.98</v>
      </c>
      <c r="AG17" s="19" t="n">
        <v>69285.98</v>
      </c>
      <c r="AH17" s="19" t="n">
        <v>69285.98</v>
      </c>
      <c r="AI17" s="18" t="b">
        <v>0</v>
      </c>
      <c r="AJ17" s="18" t="inlineStr">
        <is>
          <t>NOT_APPLIED</t>
        </is>
      </c>
      <c r="AK17" s="16" t="inlineStr">
        <is>
          <t>—</t>
        </is>
      </c>
      <c r="AL17" s="18" t="inlineStr">
        <is>
          <t>—</t>
        </is>
      </c>
      <c r="AM17" s="19" t="inlineStr">
        <is>
          <t>UNAVAILABLE</t>
        </is>
      </c>
      <c r="AN17" s="19" t="inlineStr">
        <is>
          <t>UNAVAILABLE</t>
        </is>
      </c>
      <c r="AO17" s="19" t="inlineStr">
        <is>
          <t>UNAVAILABLE</t>
        </is>
      </c>
      <c r="AP17" s="19" t="inlineStr">
        <is>
          <t>UNAVAILABLE</t>
        </is>
      </c>
      <c r="AQ17" s="18" t="inlineStr">
        <is>
          <t>—</t>
        </is>
      </c>
      <c r="AR17" s="15" t="inlineStr">
        <is>
          <t>No numeric threshold</t>
        </is>
      </c>
      <c r="AS17" s="22" t="inlineStr">
        <is>
          <t>{"coverage":1.0,"epoch_maturity":1.0,"sample":1.0,"signal":0.7,"stability":0.91}</t>
        </is>
      </c>
      <c r="AT17" s="22" t="inlineStr">
        <is>
          <t>["EVID-1E19B5180CDF11B79E5F6827","EVID-990E7C65C9A55CFB360EA05A","EVID-3DE1D1B65EC8D6C5C825F4CD","EVID-A5222E97CA81F6CAE91BF10A","EVID-2774AF84EAE8D6AA54B380CA"]</t>
        </is>
      </c>
      <c r="AU17" s="22" t="inlineStr">
        <is>
          <t>{"EVID-1E19B5180CDF11B79E5F6827":{"comparator":"","epoch_scope":"CURRENT","evidence_id":"EVID-1E19B5180CDF11B79E5F6827","interpretation":"Current release channel from the current configuration epoch.","metric":"warehouse_channel","observation_window":"current epoch","source":"system.compute.warehouses","source_field":"warehouse_channel","threshold":null,"unit":"value","value":"CURRENT"},"EVID-2774AF84EAE8D6AA54B380CA":{"comparator":"","epoch_scope":"CURRENT","evidence_id":"EVID-2774AF84EAE8D6AA54B380CA","interpretation":"Calendar-day coverage available to the forward cost model.","metric":"cost_history_days","observation_window":"current_epoch","source":"system.billing.usage","source_field":"usage_date","threshold":null,"unit":"days","value":214},"EVID-3DE1D1B65EC8D6C5C825F4CD":{"comparator":"","epoch_scope":"CURRENT","evidence_id":"EVID-3DE1D1B65EC8D6C5C825F4CD","interpretation":"No-change forward DBU cost forecast anchored to the current configuration epoch.","metric":"forward_dbu_cost_365d","observation_window":"forward_365d","source":"derived","source_field":"epoch-runrate-v2.7","threshold":null,"unit":"USD","value":48000.0},"EVID-990E7C65C9A55CFB360EA05A":{"comparator":"","epoch_scope":"CURRENT","evidence_id":"EVID-990E7C65C9A55CFB360EA05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price","threshold":null,"unit":"USD","value":42240.0},"EVID-A5222E97CA81F6CAE91BF10A":{"comparator":"","epoch_scope":"CURRENT","evidence_id":"EVID-A5222E97CA81F6CAE91BF10A","interpretation":"Forward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unavailable.","metric":"forward_aws_cost_365d","observation_window":"forward_365d","source":"derived","source_field":"aws_current_epoch_cost_model","threshold":null,"unit":"USD","value":21285.98}}</t>
        </is>
      </c>
      <c r="AV17" s="22" t="inlineStr">
        <is>
          <t>[]</t>
        </is>
      </c>
      <c r="AW17" s="22" t="inlineStr">
        <is>
          <t>[]</t>
        </is>
      </c>
      <c r="AX17" s="22" t="inlineStr">
        <is>
          <t>[]</t>
        </is>
      </c>
      <c r="AY17" s="22" t="inlineStr">
        <is>
          <t>[]</t>
        </is>
      </c>
      <c r="AZ17" s="22" t="inlineStr">
        <is>
          <t>[]</t>
        </is>
      </c>
      <c r="BA17" s="22" t="inlineStr">
        <is>
          <t>[]</t>
        </is>
      </c>
    </row>
    <row r="18" ht="32" customHeight="1">
      <c r="A18" s="14" t="inlineStr">
        <is>
          <t>PKG-C269EAEEE79C014B6AC9A50D</t>
        </is>
      </c>
      <c r="B18" s="14" t="inlineStr">
        <is>
          <t>CAND-C86EF28A42FC56DB5AD00959</t>
        </is>
      </c>
      <c r="C18" s="14" t="inlineStr">
        <is>
          <t>WH-SIZE-DOWNSIZE-001</t>
        </is>
      </c>
      <c r="D18" s="14" t="inlineStr">
        <is>
          <t>1234567890123456</t>
        </is>
      </c>
      <c r="E18" s="14" t="inlineStr">
        <is>
          <t>wh-synth-006</t>
        </is>
      </c>
      <c r="F18" s="15" t="inlineStr">
        <is>
          <t>Executive Dashboards</t>
        </is>
      </c>
      <c r="G18" s="16" t="inlineStr">
        <is>
          <t>exec-analytics@databricks.example</t>
        </is>
      </c>
      <c r="H18" s="14" t="inlineStr">
        <is>
          <t>EPOCH-CE0E206F4992054FD317289A</t>
        </is>
      </c>
      <c r="I18" s="18" t="inlineStr">
        <is>
          <t>warehouse_size</t>
        </is>
      </c>
      <c r="J18" s="18" t="inlineStr">
        <is>
          <t>TEST_REQUIRED</t>
        </is>
      </c>
      <c r="K18" s="15" t="inlineStr">
        <is>
          <t>COST</t>
        </is>
      </c>
      <c r="L18" s="15" t="inlineStr">
        <is>
          <t>LARGE</t>
        </is>
      </c>
      <c r="M18" s="15" t="inlineStr">
        <is>
          <t>MEDIUM</t>
        </is>
      </c>
      <c r="N18" s="15" t="inlineStr">
        <is>
          <t>Low spill, queueing, and latency make one-size down a controlled canary candidate; absence of pressure is not proof of SLA safety.</t>
        </is>
      </c>
      <c r="O18" s="21" t="n">
        <v>0.78</v>
      </c>
      <c r="P18" s="18" t="inlineStr">
        <is>
          <t>MEDIUM</t>
        </is>
      </c>
      <c r="Q18" s="18" t="b">
        <v>1</v>
      </c>
      <c r="R18" s="16" t="inlineStr">
        <is>
          <t>USD</t>
        </is>
      </c>
      <c r="S18" s="18" t="inlineStr">
        <is>
          <t>SAVINGS</t>
        </is>
      </c>
      <c r="T18" s="19" t="n">
        <v>48000</v>
      </c>
      <c r="U18" s="19" t="n">
        <v>21285.98</v>
      </c>
      <c r="V18" s="19" t="n">
        <v>69285.98</v>
      </c>
      <c r="W18" s="19" t="n">
        <v>-11586.21</v>
      </c>
      <c r="X18" s="19" t="n">
        <v>6289.66</v>
      </c>
      <c r="Y18" s="19" t="n">
        <v>18206.9</v>
      </c>
      <c r="Z18" s="19" t="n">
        <v>8514.389999999999</v>
      </c>
      <c r="AA18" s="19" t="n">
        <v>12345.87</v>
      </c>
      <c r="AB18" s="19" t="n">
        <v>14900.19</v>
      </c>
      <c r="AC18" s="19" t="n">
        <v>-3071.82</v>
      </c>
      <c r="AD18" s="19" t="n">
        <v>18635.53</v>
      </c>
      <c r="AE18" s="19" t="n">
        <v>33107.09</v>
      </c>
      <c r="AF18" s="19" t="n">
        <v>36178.89</v>
      </c>
      <c r="AG18" s="19" t="n">
        <v>50650.45</v>
      </c>
      <c r="AH18" s="19" t="n">
        <v>72357.8</v>
      </c>
      <c r="AI18" s="18" t="b">
        <v>0</v>
      </c>
      <c r="AJ18" s="18" t="inlineStr">
        <is>
          <t>NOT_APPLIED</t>
        </is>
      </c>
      <c r="AK18" s="16" t="inlineStr">
        <is>
          <t>—</t>
        </is>
      </c>
      <c r="AL18" s="18" t="inlineStr">
        <is>
          <t>—</t>
        </is>
      </c>
      <c r="AM18" s="19" t="inlineStr">
        <is>
          <t>UNAVAILABLE</t>
        </is>
      </c>
      <c r="AN18" s="19" t="inlineStr">
        <is>
          <t>UNAVAILABLE</t>
        </is>
      </c>
      <c r="AO18" s="19" t="inlineStr">
        <is>
          <t>UNAVAILABLE</t>
        </is>
      </c>
      <c r="AP18" s="19" t="inlineStr">
        <is>
          <t>UNAVAILABLE</t>
        </is>
      </c>
      <c r="AQ18" s="18" t="inlineStr">
        <is>
          <t>—</t>
        </is>
      </c>
      <c r="AR18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18" s="22" t="inlineStr">
        <is>
          <t>{"coverage":1.0,"epoch_maturity":1.0,"sample":1.0,"signal":1.0,"stability":0.91}</t>
        </is>
      </c>
      <c r="AT18" s="22" t="inlineStr">
        <is>
          <t>["EVID-7EE079F6E39AE969EB70AD13","EVID-7DE4C6A55F99666E0EA5E572","EVID-75681E00F1AFFAE2ED2A7EE6","EVID-1D3DC4ADB1D13DC74AC5E8BA","EVID-5377620EA4B90F62C3412859","EVID-895BAEEB75D06CB18730FA3E","EVID-1614F9F08839318F3E399E84","EVID-B10D381B0DF19402AF720873","EVID-990E7C65C9A55CFB360EA05A","EVID-3DE1D1B65EC8D6C5C825F4CD","EVID-A5222E97CA81F6CAE91BF10A","EVID-2774AF84EAE8D6AA54B380CA"]</t>
        </is>
      </c>
      <c r="AU18" s="22" t="inlineStr">
        <is>
          <t>{"EVID-1614F9F08839318F3E399E84":{"comparator":"&lt;= downsize-safe","epoch_scope":"CURRENT","evidence_id":"EVID-1614F9F08839318F3E399E84","interpretation":"Extreme tail execution latency guardrail.","metric":"p99_execution_ms_30","observation_window":"last 30 days within current epoch","source":"system.query.history","source_field":"execution_duration_ms","threshold":30000,"unit":"ms","value":6500},"EVID-1D3DC4ADB1D13DC74AC5E8BA":{"comparator":"&gt;= upsize signal","epoch_scope":"CURRENT","evidence_id":"EVID-1D3DC4ADB1D13DC74AC5E8BA","interpretation":"Severity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epoch","source":"system.query.history","source_field":"spilled_local_bytes","threshold":1073741824,"unit":"bytes","value":0},"EVID-2774AF84EAE8D6AA54B380CA":{"comparator":"","epoch_scope":"CURRENT","evidence_id":"EVID-2774AF84EAE8D6AA54B380CA","interpretation":"Calendar-day coverage available to the forward cost model.","metric":"cost_history_days","observation_window":"current_epoch","source":"system.billing.usage","source_field":"usage_date","threshold":null,"unit":"days","value":214},"EVID-3DE1D1B65EC8D6C5C825F4CD":{"comparator":"","epoch_scope":"CURRENT","evidence_id":"EVID-3DE1D1B65EC8D6C5C825F4CD","interpretation":"No-change forward DBU cost forecast anchored to the current configuration epoch.","metric":"forward_dbu_cost_365d","observation_window":"forward_365d","source":"derived","source_field":"epoch-runrate-v2.7","threshold":null,"unit":"USD","value":48000.0},"EVID-5377620EA4B90F62C3412859":{"comparator":"&lt;= downsize-safe","epoch_scope":"CURRENT","evidence_id":"EVID-5377620EA4B90F62C3412859","interpretation":"Concurrency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epoch","source":"system.query.history","source_field":"waiting_at_capacity_duration_ms","threshold":0.5,"unit":"%","value":0.0},"EVID-75681E00F1AFFAE2ED2A7EE6":{"comparator":"&gt;= evidence minimum for upsize","epoch_scope":"CURRENT","evidence_id":"EVID-75681E00F1AFFAE2ED2A7EE6","interpretation":"Queries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epoch","source":"system.query.history","source_field":"spilled_local_bytes","threshold":20,"unit":"queries","value":0},"EVID-7DE4C6A55F99666E0EA5E572":{"comparator":"&gt;= upsize signal","epoch_scope":"CURRENT","evidence_id":"EVID-7DE4C6A55F99666E0EA5E572","interpretation":"Frequency of queries spilling to local storage.","metric":"spill_query_pct_30","observation_window":"last 30 days within current epoch","source":"system.query.history","source_field":"spilled_local_bytes","threshold":2.0,"unit":"%","value":0.0},"EVID-7EE079F6E39AE969EB70AD13":{"comparator":"","epoch_scope":"CURRENT","evidence_id":"EVID-7EE079F6E39AE969EB70AD13","interpretation":"Current warehouse size.","metric":"warehouse_size","observation_window":"current epoch","source":"system.compute.warehouses","source_field":"warehouse_size","threshold":null,"unit":"value","value":"LARGE"},"EVID-895BAEEB75D06CB18730FA3E":{"comparator":"&lt;= downsize-safe","epoch_scope":"CURRENT","evidence_id":"EVID-895BAEEB75D06CB18730FA3E","interpretation":"Tail execution latency guardrail.","metric":"p95_execution_ms_30","observation_window":"last 30 days within current epoch","source":"system.query.history","source_field":"execution_duration_ms","threshold":5000,"unit":"ms","value":1900},"EVID-990E7C65C9A55CFB360EA05A":{"comparator":"","epoch_scope":"CURRENT","evidence_id":"EVID-990E7C65C9A55CFB360EA05A","interpretation":"Observed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price","threshold":null,"unit":"USD","value":42240.0},"EVID-A5222E97CA81F6CAE91BF10A":{"comparator":"","epoch_scope":"CURRENT","evidence_id":"EVID-A5222E97CA81F6CAE91BF10A","interpretation":"Forward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21285.98},"EVID-B10D381B0DF19402AF720873":{"comparator":"","epoch_scope":"CURRENT","evidence_id":"EVID-B10D381B0DF19402AF720873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epoch","source":"system.query.history","source_field":"read_io_cache_percent","threshold":null,"unit":"%","value":35.0}}</t>
        </is>
      </c>
      <c r="AV18" s="22" t="inlineStr">
        <is>
          <t>[{"comparator":"&gt;= upsize signal","evidence_id":"EVID-7DE4C6A55F99666E0EA5E572","metric":"spill_query_pct_30","threshold":2.0},{"comparator":"&gt;= evidence minimum for upsize","evidence_id":"EVID-75681E00F1AFFAE2ED2A7EE6","metric":"spill_queries_30","threshold":20},{"comparator":"&gt;= upsize signal","evidence_id":"EVID-1D3DC4ADB1D13DC74AC5E8BA","metric":"p95_spill_bytes_when_spilled_30","threshold":1073741824},{"comparator":"&lt;= downsize-safe","evidence_id":"EVID-5377620EA4B90F62C3412859","metric":"queued_query_pct_30","threshold":0.5},{"comparator":"&lt;= downsize-safe","evidence_id":"EVID-895BAEEB75D06CB18730FA3E","metric":"p95_execution_ms_30","threshold":5000},{"comparator":"&lt;= downsize-safe","evidence_id":"EVID-1614F9F08839318F3E399E84","metric":"p99_execution_ms_30","threshold":30000}]</t>
        </is>
      </c>
      <c r="AW18" s="22" t="inlineStr">
        <is>
          <t>[{"condition":null,"dependency_type":"KNOB","ref_id":"warehouse_channel"}]</t>
        </is>
      </c>
      <c r="AX18" s="22" t="inlineStr">
        <is>
          <t>["max_clusters","min_clusters","auto_stop_minutes"]</t>
        </is>
      </c>
      <c r="AY18" s="22" t="inlineStr">
        <is>
          <t>["A_B_PERFORMANCE_VALIDATION_REQUIRED"]</t>
        </is>
      </c>
      <c r="AZ18" s="22" t="inlineStr">
        <is>
          <t>[{"execution_state":"READY_FOR_CANARY","scenario_id":"SCN-CE4B0C3CDE2534722A4AAADE","scenario_name":"Plan A — Optimize current warehouse type","step":1}]</t>
        </is>
      </c>
      <c r="BA18" s="22" t="inlineStr">
        <is>
          <t>[]</t>
        </is>
      </c>
    </row>
    <row r="19" ht="32" customHeight="1">
      <c r="A19" s="14" t="inlineStr">
        <is>
          <t>PKG-C269EAEEE79C014B6AC9A50D</t>
        </is>
      </c>
      <c r="B19" s="14" t="inlineStr">
        <is>
          <t>CAND-0B0E829222AD5BA2CA4E7612</t>
        </is>
      </c>
      <c r="C19" s="14" t="inlineStr">
        <is>
          <t>WH-MAX-CLUSTER-REDUCE-001</t>
        </is>
      </c>
      <c r="D19" s="14" t="inlineStr">
        <is>
          <t>1234567890123456</t>
        </is>
      </c>
      <c r="E19" s="14" t="inlineStr">
        <is>
          <t>wh-synth-006</t>
        </is>
      </c>
      <c r="F19" s="15" t="inlineStr">
        <is>
          <t>Executive Dashboards</t>
        </is>
      </c>
      <c r="G19" s="16" t="inlineStr">
        <is>
          <t>exec-analytics@databricks.example</t>
        </is>
      </c>
      <c r="H19" s="14" t="inlineStr">
        <is>
          <t>EPOCH-CE0E206F4992054FD317289A</t>
        </is>
      </c>
      <c r="I19" s="18" t="inlineStr">
        <is>
          <t>max_clusters</t>
        </is>
      </c>
      <c r="J19" s="18" t="inlineStr">
        <is>
          <t>ACTIONABLE</t>
        </is>
      </c>
      <c r="K19" s="15" t="inlineStr">
        <is>
          <t>COST_GUARDRAIL</t>
        </is>
      </c>
      <c r="L19" s="15" t="n">
        <v>6</v>
      </c>
      <c r="M19" s="15" t="n">
        <v>4</v>
      </c>
      <c r="N19" s="15" t="inlineStr">
        <is>
          <t>The configured ceiling has not been used and queue pressure is low; tighten the guardrail without claiming direct savings.</t>
        </is>
      </c>
      <c r="O19" s="21" t="n">
        <v>0.93</v>
      </c>
      <c r="P19" s="18" t="inlineStr">
        <is>
          <t>HIGH</t>
        </is>
      </c>
      <c r="Q19" s="18" t="b">
        <v>1</v>
      </c>
      <c r="R19" s="16" t="inlineStr">
        <is>
          <t>USD</t>
        </is>
      </c>
      <c r="S19" s="18" t="inlineStr">
        <is>
          <t>NO_CHANGE</t>
        </is>
      </c>
      <c r="T19" s="19" t="n">
        <v>48000</v>
      </c>
      <c r="U19" s="19" t="n">
        <v>21285.98</v>
      </c>
      <c r="V19" s="19" t="n">
        <v>69285.98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19" t="n">
        <v>69285.98</v>
      </c>
      <c r="AG19" s="19" t="n">
        <v>69285.98</v>
      </c>
      <c r="AH19" s="19" t="n">
        <v>69285.98</v>
      </c>
      <c r="AI19" s="18" t="b">
        <v>0</v>
      </c>
      <c r="AJ19" s="18" t="inlineStr">
        <is>
          <t>NOT_APPLIED</t>
        </is>
      </c>
      <c r="AK19" s="16" t="inlineStr">
        <is>
          <t>—</t>
        </is>
      </c>
      <c r="AL19" s="18" t="inlineStr">
        <is>
          <t>—</t>
        </is>
      </c>
      <c r="AM19" s="19" t="inlineStr">
        <is>
          <t>UNAVAILABLE</t>
        </is>
      </c>
      <c r="AN19" s="19" t="inlineStr">
        <is>
          <t>UNAVAILABLE</t>
        </is>
      </c>
      <c r="AO19" s="19" t="inlineStr">
        <is>
          <t>UNAVAILABLE</t>
        </is>
      </c>
      <c r="AP19" s="19" t="inlineStr">
        <is>
          <t>UNAVAILABLE</t>
        </is>
      </c>
      <c r="AQ19" s="18" t="inlineStr">
        <is>
          <t>—</t>
        </is>
      </c>
      <c r="AR19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19" s="22" t="inlineStr">
        <is>
          <t>{"coverage":1.0,"epoch_maturity":1.0,"sample":1.0,"signal":1.0,"stability":0.91}</t>
        </is>
      </c>
      <c r="AT19" s="22" t="inlineStr">
        <is>
          <t>["EVID-A1A5198F8F5C91C64ADA9CB8","EVID-EAFB05CA0AE5AFF8B3549A43","EVID-FDB65766E0DDA49AC4DD5518","EVID-AAE9AAC833B24F5DAC8690C9","EVID-07855EEDB66F6649A9D64E54","EVID-6D282145D7EDDBB713F4D360","EVID-990E7C65C9A55CFB360EA05A","EVID-3DE1D1B65EC8D6C5C825F4CD","EVID-A5222E97CA81F6CAE91BF10A","EVID-2774AF84EAE8D6AA54B380CA"]</t>
        </is>
      </c>
      <c r="AU19" s="22" t="inlineStr">
        <is>
          <t>{"EVID-07855EEDB66F6649A9D64E54":{"comparator":"&gt;= evidence minimum for increase","epoch_scope":"CURRENT","evidence_id":"EVID-07855EEDB66F6649A9D64E54","interpretation":"Queries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-2774AF84EAE8D6AA54B380CA":{"comparator":"","epoch_scope":"CURRENT","evidence_id":"EVID-2774AF84EAE8D6AA54B380CA","interpretation":"Calendar-day coverage available to the forward cost model.","metric":"cost_history_days","observation_window":"current_epoch","source":"system.billing.usage","source_field":"usage_date","threshold":null,"unit":"days","value":214},"EVID-3DE1D1B65EC8D6C5C825F4CD":{"comparator":"","epoch_scope":"CURRENT","evidence_id":"EVID-3DE1D1B65EC8D6C5C825F4CD","interpretation":"No-change forward DBU cost forecast anchored to the current configuration epoch.","metric":"forward_dbu_cost_365d","observation_window":"forward_365d","source":"derived","source_field":"epoch-runrate-v2.7","threshold":null,"unit":"USD","value":48000.0},"EVID-6D282145D7EDDBB713F4D360":{"comparator":"&gt;= increase signal","epoch_scope":"CURRENT","evidence_id":"EVID-6D282145D7EDDBB713F4D360","interpretation":"Severity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epoch","source":"system.query.history","source_field":"waiting_at_capacity_duration_ms","threshold":30000,"unit":"ms","value":0},"EVID-990E7C65C9A55CFB360EA05A":{"comparator":"","epoch_scope":"CURRENT","evidence_id":"EVID-990E7C65C9A55CFB360EA05A","interpretation":"Observed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price","threshold":null,"unit":"USD","value":42240.0},"EVID-A1A5198F8F5C91C64ADA9CB8":{"comparator":"","epoch_scope":"CURRENT","evidence_id":"EVID-A1A5198F8F5C91C64ADA9CB8","interpretation":"Configured concurrency ceiling.","metric":"max_clusters","observation_window":"current epoch","source":"system.compute.warehouses","source_field":"max_clusters","threshold":null,"unit":"value","value":6},"EVID-A5222E97CA81F6CAE91BF10A":{"comparator":"","epoch_scope":"CURRENT","evidence_id":"EVID-A5222E97CA81F6CAE91BF10A","interpretation":"Forward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unavailable.","metric":"forward_aws_cost_365d","observation_window":"forward_365d","source":"derived","source_field":"aws_current_epoch_cost_model","threshold":null,"unit":"USD","value":21285.98},"EVID-AAE9AAC833B24F5DAC8690C9":{"comparator":"&gt;= increase signal","epoch_scope":"CURRENT","evidence_id":"EVID-AAE9AAC833B24F5DAC8690C9","interpretation":"Frequency of capacity queueing.","metric":"queued_query_pct_30","observation_window":"last 30 days within current epoch","source":"system.query.history","source_field":"waiting_at_capacity_duration_ms","threshold":5.0,"unit":"%","value":0.0},"EVID-EAFB05CA0AE5AFF8B3549A43":{"comparator":"","epoch_scope":"CURRENT","evidence_id":"EVID-EAFB05CA0AE5AFF8B3549A43","interpretation":"Highest observed scale level.","metric":"max_observed_clusters","observation_window":"current epoch","source":"system.compute.warehouse_events","source_field":"cluster_count","threshold":null,"unit":"clusters","value":3},"EVID-FDB65766E0DDA49AC4DD5518":{"comparator":"&lt;= reduce-safe","epoch_scope":"CURRENT","evidence_id":"EVID-FDB65766E0DDA49AC4DD5518","interpretation":"Fraction of running time at configured maximum.","metric":"time_at_max_pct","observation_window":"current epoch","source":"system.compute.warehouse_events","source_field":"cluster_count","threshold":1.0,"unit":"%","value":0.0}}</t>
        </is>
      </c>
      <c r="AV19" s="22" t="inlineStr">
        <is>
          <t>[{"comparator":"&lt;= reduce-safe","evidence_id":"EVID-FDB65766E0DDA49AC4DD5518","metric":"time_at_max_pct","threshold":1.0},{"comparator":"&gt;= increase signal","evidence_id":"EVID-AAE9AAC833B24F5DAC8690C9","metric":"queued_query_pct_30","threshold":5.0},{"comparator":"&gt;= evidence minimum for increase","evidence_id":"EVID-07855EEDB66F6649A9D64E54","metric":"queued_queries_30","threshold":20},{"comparator":"&gt;= increase signal","evidence_id":"EVID-6D282145D7EDDBB713F4D360","metric":"p95_wait_capacity_ms_when_queued_30","threshold":30000}]</t>
        </is>
      </c>
      <c r="AW19" s="22" t="inlineStr">
        <is>
          <t>[{"condition":null,"dependency_type":"KNOB","ref_id":"warehouse_size"}]</t>
        </is>
      </c>
      <c r="AX19" s="22" t="inlineStr">
        <is>
          <t>["min_clusters"]</t>
        </is>
      </c>
      <c r="AY19" s="22" t="inlineStr">
        <is>
          <t>[]</t>
        </is>
      </c>
      <c r="AZ19" s="22" t="inlineStr">
        <is>
          <t>[{"execution_state":"PENDING_REEVALUATION","scenario_id":"SCN-CE4B0C3CDE2534722A4AAADE","scenario_name":"Plan A — Optimize current warehouse type","step":2}]</t>
        </is>
      </c>
      <c r="BA19" s="22" t="inlineStr">
        <is>
          <t>[]</t>
        </is>
      </c>
    </row>
    <row r="20" ht="32" customHeight="1">
      <c r="A20" s="14" t="inlineStr">
        <is>
          <t>PKG-C269EAEEE79C014B6AC9A50D</t>
        </is>
      </c>
      <c r="B20" s="14" t="inlineStr">
        <is>
          <t>CAND-E2B81BBFEB2D221645C6CC57</t>
        </is>
      </c>
      <c r="C20" s="14" t="inlineStr">
        <is>
          <t>WH-MIN-CLUSTER-REDUCE-001</t>
        </is>
      </c>
      <c r="D20" s="14" t="inlineStr">
        <is>
          <t>1234567890123456</t>
        </is>
      </c>
      <c r="E20" s="14" t="inlineStr">
        <is>
          <t>wh-synth-006</t>
        </is>
      </c>
      <c r="F20" s="15" t="inlineStr">
        <is>
          <t>Executive Dashboards</t>
        </is>
      </c>
      <c r="G20" s="16" t="inlineStr">
        <is>
          <t>exec-analytics@databricks.example</t>
        </is>
      </c>
      <c r="H20" s="14" t="inlineStr">
        <is>
          <t>EPOCH-CE0E206F4992054FD317289A</t>
        </is>
      </c>
      <c r="I20" s="18" t="inlineStr">
        <is>
          <t>min_clusters</t>
        </is>
      </c>
      <c r="J20" s="18" t="inlineStr">
        <is>
          <t>TEST_REQUIRED</t>
        </is>
      </c>
      <c r="K20" s="15" t="inlineStr">
        <is>
          <t>COST</t>
        </is>
      </c>
      <c r="L20" s="15" t="n">
        <v>3</v>
      </c>
      <c r="M20" s="15" t="n">
        <v>2</v>
      </c>
      <c r="N20" s="15" t="inlineStr">
        <is>
          <t>Warehouse spends substantial time at minimum capacity without queue/scale pressure; time at the floor does not prove a floor cluster was spare, so the reduction is a canary candidate and its savings an upper-bound range.</t>
        </is>
      </c>
      <c r="O20" s="21" t="n">
        <v>0.78</v>
      </c>
      <c r="P20" s="18" t="inlineStr">
        <is>
          <t>MEDIUM</t>
        </is>
      </c>
      <c r="Q20" s="18" t="b">
        <v>1</v>
      </c>
      <c r="R20" s="16" t="inlineStr">
        <is>
          <t>USD</t>
        </is>
      </c>
      <c r="S20" s="18" t="inlineStr">
        <is>
          <t>SAVINGS</t>
        </is>
      </c>
      <c r="T20" s="19" t="n">
        <v>48000</v>
      </c>
      <c r="U20" s="19" t="n">
        <v>21285.98</v>
      </c>
      <c r="V20" s="19" t="n">
        <v>69285.98</v>
      </c>
      <c r="W20" s="19" t="n">
        <v>0</v>
      </c>
      <c r="X20" s="19" t="n">
        <v>7040</v>
      </c>
      <c r="Y20" s="19" t="n">
        <v>14080</v>
      </c>
      <c r="Z20" s="19" t="n">
        <v>0</v>
      </c>
      <c r="AA20" s="19" t="n">
        <v>3121.94</v>
      </c>
      <c r="AB20" s="19" t="n">
        <v>6243.89</v>
      </c>
      <c r="AC20" s="19" t="n">
        <v>0</v>
      </c>
      <c r="AD20" s="19" t="n">
        <v>10161.94</v>
      </c>
      <c r="AE20" s="19" t="n">
        <v>20323.89</v>
      </c>
      <c r="AF20" s="19" t="n">
        <v>48962.09</v>
      </c>
      <c r="AG20" s="19" t="n">
        <v>59124.04</v>
      </c>
      <c r="AH20" s="19" t="n">
        <v>69285.98</v>
      </c>
      <c r="AI20" s="18" t="b">
        <v>0</v>
      </c>
      <c r="AJ20" s="18" t="inlineStr">
        <is>
          <t>NOT_APPLIED</t>
        </is>
      </c>
      <c r="AK20" s="16" t="inlineStr">
        <is>
          <t>—</t>
        </is>
      </c>
      <c r="AL20" s="18" t="inlineStr">
        <is>
          <t>—</t>
        </is>
      </c>
      <c r="AM20" s="19" t="inlineStr">
        <is>
          <t>UNAVAILABLE</t>
        </is>
      </c>
      <c r="AN20" s="19" t="inlineStr">
        <is>
          <t>UNAVAILABLE</t>
        </is>
      </c>
      <c r="AO20" s="19" t="inlineStr">
        <is>
          <t>UNAVAILABLE</t>
        </is>
      </c>
      <c r="AP20" s="19" t="inlineStr">
        <is>
          <t>UNAVAILABLE</t>
        </is>
      </c>
      <c r="AQ20" s="18" t="inlineStr">
        <is>
          <t>—</t>
        </is>
      </c>
      <c r="AR20" s="15" t="inlineStr">
        <is>
          <t>time_at_min_pct &gt;= reduction signal 25.0; queued_query_pct_30 &lt;= safe 0.5; p95_wait_capacity_ms_when_queued_30 &lt;= safe 5000; time_at_max_pct &gt;= blocker 20.0</t>
        </is>
      </c>
      <c r="AS20" s="22" t="inlineStr">
        <is>
          <t>{"coverage":1.0,"epoch_maturity":1.0,"sample":1.0,"signal":1.0,"stability":0.91}</t>
        </is>
      </c>
      <c r="AT20" s="22" t="inlineStr">
        <is>
          <t>["EVID-3E447650DBBC19DE5DC50006","EVID-41B376CD33B233A60C984B5E","EVID-E0B79AC286DD69D55BD4D1D0","EVID-5F24A6CA88EA07B7E10EA266","EVID-069E575F07ED5D3F026FFD84","EVID-990E7C65C9A55CFB360EA05A","EVID-3DE1D1B65EC8D6C5C825F4CD","EVID-A5222E97CA81F6CAE91BF10A","EVID-2774AF84EAE8D6AA54B380CA"]</t>
        </is>
      </c>
      <c r="AU20" s="22" t="inlineStr">
        <is>
          <t>{"EVID-069E575F07ED5D3F026FFD84":{"comparator":"&gt;= blocker","epoch_scope":"CURRENT","evidence_id":"EVID-069E575F07ED5D3F026FFD84","interpretation":"Sustained scale pressure blocks minimum reduction.","metric":"time_at_max_pct","observation_window":"current epoch","source":"system.compute.warehouse_events","source_field":"cluster_count","threshold":20.0,"unit":"%","value":0.0},"EVID-2774AF84EAE8D6AA54B380CA":{"comparator":"","epoch_scope":"CURRENT","evidence_id":"EVID-2774AF84EAE8D6AA54B380CA","interpretation":"Calendar-day coverage available to the forward cost model.","metric":"cost_history_days","observation_window":"current_epoch","source":"system.billing.usage","source_field":"usage_date","threshold":null,"unit":"days","value":214},"EVID-3DE1D1B65EC8D6C5C825F4CD":{"comparator":"","epoch_scope":"CURRENT","evidence_id":"EVID-3DE1D1B65EC8D6C5C825F4CD","interpretation":"No-change forward DBU cost forecast anchored to the current configuration epoch.","metric":"forward_dbu_cost_365d","observation_window":"forward_365d","source":"derived","source_field":"epoch-runrate-v2.7","threshold":null,"unit":"USD","value":48000.0},"EVID-3E447650DBBC19DE5DC50006":{"comparator":"","epoch_scope":"CURRENT","evidence_id":"EVID-3E447650DBBC19DE5DC50006","interpretation":"Configured minimum scale.","metric":"min_clusters","observation_window":"current epoch","source":"system.compute.warehouses","source_field":"min_clusters","threshold":null,"unit":"value","value":3},"EVID-41B376CD33B233A60C984B5E":{"comparator":"&gt;= reduction signal","epoch_scope":"CURRENT","evidence_id":"EVID-41B376CD33B233A60C984B5E","interpretation":"How often the warehouse sits at its minimum.","metric":"time_at_min_pct","observation_window":"current epoch","source":"system.compute.warehouse_events","source_field":"cluster_count","threshold":25.0,"unit":"%","value":88.0},"EVID-5F24A6CA88EA07B7E10EA266":{"comparator":"&lt;= safe","epoch_scope":"CURRENT","evidence_id":"EVID-5F24A6CA88EA07B7E10EA266","interpretation":"Queue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epoch","source":"system.query.history","source_field":"waiting_at_capacity_duration_ms","threshold":5000,"unit":"ms","value":0},"EVID-990E7C65C9A55CFB360EA05A":{"comparator":"","epoch_scope":"CURRENT","evidence_id":"EVID-990E7C65C9A55CFB360EA05A","interpretation":"Observed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price","threshold":null,"unit":"USD","value":42240.0},"EVID-A5222E97CA81F6CAE91BF10A":{"comparator":"","epoch_scope":"CURRENT","evidence_id":"EVID-A5222E97CA81F6CAE91BF10A","interpretation":"Forward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unavailable.","metric":"forward_aws_cost_365d","observation_window":"forward_365d","source":"derived","source_field":"aws_current_epoch_cost_model","threshold":null,"unit":"USD","value":21285.98},"EVID-E0B79AC286DD69D55BD4D1D0":{"comparator":"&lt;= safe","epoch_scope":"CURRENT","evidence_id":"EVID-E0B79AC286DD69D55BD4D1D0","interpretation":"Queue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epoch","source":"system.query.history","source_field":"waiting_at_capacity_duration_ms","threshold":0.5,"unit":"%","value":0.0}}</t>
        </is>
      </c>
      <c r="AV20" s="22" t="inlineStr">
        <is>
          <t>[{"comparator":"&gt;= reduction signal","evidence_id":"EVID-41B376CD33B233A60C984B5E","metric":"time_at_min_pct","threshold":25.0},{"comparator":"&lt;= safe","evidence_id":"EVID-E0B79AC286DD69D55BD4D1D0","metric":"queued_query_pct_30","threshold":0.5},{"comparator":"&lt;= safe","evidence_id":"EVID-5F24A6CA88EA07B7E10EA266","metric":"p95_wait_capacity_ms_when_queued_30","threshold":5000},{"comparator":"&gt;= blocker","evidence_id":"EVID-069E575F07ED5D3F026FFD84","metric":"time_at_max_pct","threshold":20.0}]</t>
        </is>
      </c>
      <c r="AW20" s="22" t="inlineStr">
        <is>
          <t>[{"condition":null,"dependency_type":"KNOB","ref_id":"warehouse_size"},{"condition":null,"dependency_type":"KNOB","ref_id":"max_clusters"}]</t>
        </is>
      </c>
      <c r="AX20" s="22" t="inlineStr">
        <is>
          <t>["auto_stop_minutes"]</t>
        </is>
      </c>
      <c r="AY20" s="22" t="inlineStr">
        <is>
          <t>["A_B_PERFORMANCE_VALIDATION_REQUIRED","SPARE_FLOOR_CAPACITY_UNPROVEN"]</t>
        </is>
      </c>
      <c r="AZ20" s="22" t="inlineStr">
        <is>
          <t>[{"execution_state":"PENDING_REEVALUATION","scenario_id":"SCN-CE4B0C3CDE2534722A4AAADE","scenario_name":"Plan A — Optimize current warehouse type","step":3}]</t>
        </is>
      </c>
      <c r="BA20" s="22" t="inlineStr">
        <is>
          <t>[]</t>
        </is>
      </c>
    </row>
    <row r="21" ht="32" customHeight="1">
      <c r="A21" s="14" t="inlineStr">
        <is>
          <t>PKG-C269EAEEE79C014B6AC9A50D</t>
        </is>
      </c>
      <c r="B21" s="14" t="inlineStr">
        <is>
          <t>CAND-028FA513EA788FFB1FAADF4E</t>
        </is>
      </c>
      <c r="C21" s="14" t="inlineStr">
        <is>
          <t>WH-AUTOSTOP-REDUCE-001</t>
        </is>
      </c>
      <c r="D21" s="14" t="inlineStr">
        <is>
          <t>1234567890123456</t>
        </is>
      </c>
      <c r="E21" s="14" t="inlineStr">
        <is>
          <t>wh-synth-006</t>
        </is>
      </c>
      <c r="F21" s="15" t="inlineStr">
        <is>
          <t>Executive Dashboards</t>
        </is>
      </c>
      <c r="G21" s="16" t="inlineStr">
        <is>
          <t>exec-analytics@databricks.example</t>
        </is>
      </c>
      <c r="H21" s="14" t="inlineStr">
        <is>
          <t>EPOCH-CE0E206F4992054FD317289A</t>
        </is>
      </c>
      <c r="I21" s="18" t="inlineStr">
        <is>
          <t>auto_stop_minutes</t>
        </is>
      </c>
      <c r="J21" s="18" t="inlineStr">
        <is>
          <t>ACTIONABLE</t>
        </is>
      </c>
      <c r="K21" s="15" t="inlineStr">
        <is>
          <t>COST</t>
        </is>
      </c>
      <c r="L21" s="15" t="n">
        <v>120</v>
      </c>
      <c r="M21" s="15" t="n">
        <v>45</v>
      </c>
      <c r="N21" s="15" t="inlineStr">
        <is>
          <t>Idle-gap evidence supports a lower auto-stop target.</t>
        </is>
      </c>
      <c r="O21" s="21" t="n">
        <v>0.93</v>
      </c>
      <c r="P21" s="18" t="inlineStr">
        <is>
          <t>HIGH</t>
        </is>
      </c>
      <c r="Q21" s="18" t="b">
        <v>1</v>
      </c>
      <c r="R21" s="16" t="inlineStr">
        <is>
          <t>USD</t>
        </is>
      </c>
      <c r="S21" s="18" t="inlineStr">
        <is>
          <t>SAVINGS</t>
        </is>
      </c>
      <c r="T21" s="19" t="n">
        <v>48000</v>
      </c>
      <c r="U21" s="19" t="n">
        <v>21285.98</v>
      </c>
      <c r="V21" s="19" t="n">
        <v>69285.98</v>
      </c>
      <c r="W21" s="19" t="n">
        <v>6600</v>
      </c>
      <c r="X21" s="19" t="n">
        <v>9900</v>
      </c>
      <c r="Y21" s="19" t="n">
        <v>13200</v>
      </c>
      <c r="Z21" s="19" t="n">
        <v>2926.82</v>
      </c>
      <c r="AA21" s="19" t="n">
        <v>4390.23</v>
      </c>
      <c r="AB21" s="19" t="n">
        <v>5853.64</v>
      </c>
      <c r="AC21" s="19" t="n">
        <v>9526.82</v>
      </c>
      <c r="AD21" s="19" t="n">
        <v>14290.23</v>
      </c>
      <c r="AE21" s="19" t="n">
        <v>19053.64</v>
      </c>
      <c r="AF21" s="19" t="n">
        <v>50232.34</v>
      </c>
      <c r="AG21" s="19" t="n">
        <v>54995.75</v>
      </c>
      <c r="AH21" s="19" t="n">
        <v>59759.16</v>
      </c>
      <c r="AI21" s="18" t="b">
        <v>0</v>
      </c>
      <c r="AJ21" s="18" t="inlineStr">
        <is>
          <t>NOT_APPLIED</t>
        </is>
      </c>
      <c r="AK21" s="16" t="inlineStr">
        <is>
          <t>—</t>
        </is>
      </c>
      <c r="AL21" s="18" t="inlineStr">
        <is>
          <t>—</t>
        </is>
      </c>
      <c r="AM21" s="19" t="inlineStr">
        <is>
          <t>UNAVAILABLE</t>
        </is>
      </c>
      <c r="AN21" s="19" t="inlineStr">
        <is>
          <t>UNAVAILABLE</t>
        </is>
      </c>
      <c r="AO21" s="19" t="inlineStr">
        <is>
          <t>UNAVAILABLE</t>
        </is>
      </c>
      <c r="AP21" s="19" t="inlineStr">
        <is>
          <t>UNAVAILABLE</t>
        </is>
      </c>
      <c r="AQ21" s="18" t="inlineStr">
        <is>
          <t>—</t>
        </is>
      </c>
      <c r="AR21" s="15" t="inlineStr">
        <is>
          <t>auto_stop_minutes &gt; target 45; idle_gap_count &gt;= evidence minimum 30; cluster_minutes &gt;= evidence minimum 1.0; p95_wait_compute_ms_when_waited_30 &gt;= cold-start blocker 60000; starts_per_active_day_30 &gt;= cold-start blocker 0.5</t>
        </is>
      </c>
      <c r="AS21" s="22" t="inlineStr">
        <is>
          <t>{"coverage":1.0,"epoch_maturity":1.0,"sample":1.0,"signal":1.0,"stability":0.91}</t>
        </is>
      </c>
      <c r="AT21" s="22" t="inlineStr">
        <is>
          <t>["EVID-686136A0CB3D558076E8814F","EVID-4B10F42F3076E3A2C99D1E07","EVID-3574F2628778A67585EA0BA6","EVID-1805CF7D4543EFA78447DECE","EVID-8709603247A35A8909AA6811","EVID-6EF3D166591630B3C50D2BE2","EVID-3301D8D217A4AF84708C338B","EVID-C20E3596861AD2FFE5AC3C02","EVID-990E7C65C9A55CFB360EA05A","EVID-3DE1D1B65EC8D6C5C825F4CD","EVID-A5222E97CA81F6CAE91BF10A","EVID-2774AF84EAE8D6AA54B380CA"]</t>
        </is>
      </c>
      <c r="AU21" s="22" t="inlineStr">
        <is>
          <t>{"EVID-1805CF7D4543EFA78447DECE":{"comparator":"&gt;= evidence minimum","epoch_scope":"CURRENT","evidence_id":"EVID-1805CF7D4543EFA78447DECE","interpretation":"Observed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60000.0},"EVID-2774AF84EAE8D6AA54B380CA":{"comparator":"","epoch_scope":"CURRENT","evidence_id":"EVID-2774AF84EAE8D6AA54B380CA","interpretation":"Calendar-day coverage available to the forward cost model.","metric":"cost_history_days","observation_window":"current_epoch","source":"system.billing.usage","source_field":"usage_date","threshold":null,"unit":"days","value":214},"EVID-3301D8D217A4AF84708C338B":{"comparator":"&gt;= cold-start blocker","epoch_scope":"CURRENT","evidence_id":"EVID-3301D8D217A4AF84708C338B","interpretation":"Restart frequency guardrail.","metric":"starts_per_active_day_30","observation_window":"last 30 days within current epoch","source":"system.compute.warehouse_events","source_field":"event_type=STARTING","threshold":0.5,"unit":"starts/day","value":0.2},"EVID-3574F2628778A67585EA0BA6":{"comparator":"&gt;= evidence minimum","epoch_scope":"CURRENT","evidence_id":"EVID-3574F2628778A67585EA0BA6","interpretation":"Non-overlapping inter-query gap sample supporting the auto-stop counterfactual.","metric":"idle_gap_count","observation_window":"current epoch","source":"system.query.history","source_field":"start_time/end_time","threshold":30,"unit":"gaps","value":600},"EVID-3DE1D1B65EC8D6C5C825F4CD":{"comparator":"","epoch_scope":"CURRENT","evidence_id":"EVID-3DE1D1B65EC8D6C5C825F4CD","interpretation":"No-change forward DBU cost forecast anchored to the current configuration epoch.","metric":"forward_dbu_cost_365d","observation_window":"forward_365d","source":"derived","source_field":"epoch-runrate-v2.7","threshold":null,"unit":"USD","value":48000.0},"EVID-4B10F42F3076E3A2C99D1E07":{"comparator":"","epoch_scope":"CURRENT","evidence_id":"EVID-4B10F42F3076E3A2C99D1E07","interpretation":"Activity density selects the auto-stop target.","metric":"queries_per_active_day_30","observation_window":"last 30 days within current epoch","source":"system.query.history","source_field":"start_time","threshold":null,"unit":"queries/day","value":500.0},"EVID-686136A0CB3D558076E8814F":{"comparator":"&gt; target","epoch_scope":"CURRENT","evidence_id":"EVID-686136A0CB3D558076E8814F","interpretation":"Current idle termination setting versus deterministic policy target.","metric":"auto_stop_minutes","observation_window":"current epoch","source":"system.compute.warehouses","source_field":"auto_stop_minutes","threshold":45,"unit":"minutes","value":120},"EVID-6EF3D166591630B3C50D2BE2":{"comparator":"&gt;= cold-start blocker","epoch_scope":"CURRENT","evidence_id":"EVID-6EF3D166591630B3C50D2BE2","interpretation":"Cold-start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epoch","source":"system.query.history","source_field":"waiting_for_compute_duration_ms","threshold":60000,"unit":"ms","value":3500},"EVID-8709603247A35A8909AA6811":{"comparator":"","epoch_scope":"CURRENT","evidence_id":"EVID-8709603247A35A8909AA6811","interpretation":"Queries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epoch","source":"system.query.history","source_field":"waiting_for_compute_duration_ms","threshold":null,"unit":"queries","value":6},"EVID-990E7C65C9A55CFB360EA05A":{"comparator":"","epoch_scope":"CURRENT","evidence_id":"EVID-990E7C65C9A55CFB360EA05A","interpretation":"Observed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price","threshold":null,"unit":"USD","value":42240.0},"EVID-A5222E97CA81F6CAE91BF10A":{"comparator":"","epoch_scope":"CURRENT","evidence_id":"EVID-A5222E97CA81F6CAE91BF10A","interpretation":"Forward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21285.98},"EVID-C20E3596861AD2FFE5AC3C02":{"comparator":"","epoch_scope":"CURRENT","evidence_id":"EVID-C20E3596861AD2FFE5AC3C02","interpretation":"Estimated additional off-time at the candidate target.","metric":"estimated_additional_off_minutes","observation_window":"current epoch","source":"system.query.history","source_field":"inter-query gap","threshold":null,"unit":"minutes","value":5500.0}}</t>
        </is>
      </c>
      <c r="AV21" s="22" t="inlineStr">
        <is>
          <t>[{"comparator":"&gt; target","evidence_id":"EVID-686136A0CB3D558076E8814F","metric":"auto_stop_minutes","threshold":45},{"comparator":"&gt;= evidence minimum","evidence_id":"EVID-3574F2628778A67585EA0BA6","metric":"idle_gap_count","threshold":30},{"comparator":"&gt;= evidence minimum","evidence_id":"EVID-1805CF7D4543EFA78447DECE","metric":"cluster_minutes","threshold":1.0},{"comparator":"&gt;= cold-start blocker","evidence_id":"EVID-6EF3D166591630B3C50D2BE2","metric":"p95_wait_compute_ms_when_waited_30","threshold":60000},{"comparator":"&gt;= cold-start blocker","evidence_id":"EVID-3301D8D217A4AF84708C338B","metric":"starts_per_active_day_30","threshold":0.5}]</t>
        </is>
      </c>
      <c r="AW21" s="22" t="inlineStr">
        <is>
          <t>[{"condition":null,"dependency_type":"KNOB","ref_id":"min_clusters"}]</t>
        </is>
      </c>
      <c r="AX21" s="22" t="inlineStr">
        <is>
          <t>[]</t>
        </is>
      </c>
      <c r="AY21" s="22" t="inlineStr">
        <is>
          <t>[]</t>
        </is>
      </c>
      <c r="AZ21" s="22" t="inlineStr">
        <is>
          <t>[{"execution_state":"PENDING_REEVALUATION","scenario_id":"SCN-CE4B0C3CDE2534722A4AAADE","scenario_name":"Plan A — Optimize current warehouse type","step":4}]</t>
        </is>
      </c>
      <c r="BA21" s="22" t="inlineStr">
        <is>
          <t>[]</t>
        </is>
      </c>
    </row>
    <row r="22" ht="32" customHeight="1">
      <c r="A22" s="14" t="inlineStr">
        <is>
          <t>PKG-C269EAEEE79C014B6AC9A50D</t>
        </is>
      </c>
      <c r="B22" s="14" t="inlineStr">
        <is>
          <t>CAND-B994ABE33118C0EA458EFC1D</t>
        </is>
      </c>
      <c r="C22" s="14" t="inlineStr">
        <is>
          <t>WH-SERVERLESS-MIGRATE-001</t>
        </is>
      </c>
      <c r="D22" s="14" t="inlineStr">
        <is>
          <t>1234567890123456</t>
        </is>
      </c>
      <c r="E22" s="14" t="inlineStr">
        <is>
          <t>wh-synth-006</t>
        </is>
      </c>
      <c r="F22" s="15" t="inlineStr">
        <is>
          <t>Executive Dashboards</t>
        </is>
      </c>
      <c r="G22" s="16" t="inlineStr">
        <is>
          <t>exec-analytics@databricks.example</t>
        </is>
      </c>
      <c r="H22" s="14" t="inlineStr">
        <is>
          <t>EPOCH-CE0E206F4992054FD317289A</t>
        </is>
      </c>
      <c r="I22" s="18" t="inlineStr">
        <is>
          <t>warehouse_type</t>
        </is>
      </c>
      <c r="J22" s="18" t="inlineStr">
        <is>
          <t>TEST_REQUIRED</t>
        </is>
      </c>
      <c r="K22" s="15" t="inlineStr">
        <is>
          <t>MIGRATION, COST_AND_PERFORMANCE, OPERATIONS</t>
        </is>
      </c>
      <c r="L22" s="15" t="inlineStr">
        <is>
          <t>PRO</t>
        </is>
      </c>
      <c r="M22" s="15" t="inlineStr">
        <is>
          <t>SERVERLESS</t>
        </is>
      </c>
      <c r="N22" s="15" t="inlineStr">
        <is>
          <t>Serverless is evaluated as a separate migration experiment with a pre-canary DBU/AWS counterfactual and deterministic compatibility gate.</t>
        </is>
      </c>
      <c r="O22" s="21" t="n">
        <v>0.78</v>
      </c>
      <c r="P22" s="18" t="inlineStr">
        <is>
          <t>MEDIUM</t>
        </is>
      </c>
      <c r="Q22" s="18" t="b">
        <v>1</v>
      </c>
      <c r="R22" s="16" t="inlineStr">
        <is>
          <t>USD</t>
        </is>
      </c>
      <c r="S22" s="18" t="inlineStr">
        <is>
          <t>SAVINGS</t>
        </is>
      </c>
      <c r="T22" s="19" t="n">
        <v>48000</v>
      </c>
      <c r="U22" s="19" t="n">
        <v>21285.98</v>
      </c>
      <c r="V22" s="19" t="n">
        <v>69285.98</v>
      </c>
      <c r="W22" s="19" t="n">
        <v>242.99</v>
      </c>
      <c r="X22" s="19" t="n">
        <v>242.99</v>
      </c>
      <c r="Y22" s="19" t="n">
        <v>32081</v>
      </c>
      <c r="Z22" s="19" t="n">
        <v>21285.98</v>
      </c>
      <c r="AA22" s="19" t="n">
        <v>21285.98</v>
      </c>
      <c r="AB22" s="19" t="n">
        <v>21285.98</v>
      </c>
      <c r="AC22" s="19" t="n">
        <v>21528.97</v>
      </c>
      <c r="AD22" s="19" t="n">
        <v>21528.97</v>
      </c>
      <c r="AE22" s="19" t="n">
        <v>53366.98</v>
      </c>
      <c r="AF22" s="19" t="n">
        <v>15919</v>
      </c>
      <c r="AG22" s="19" t="n">
        <v>47757.01</v>
      </c>
      <c r="AH22" s="19" t="n">
        <v>47757.01</v>
      </c>
      <c r="AI22" s="18" t="b">
        <v>0</v>
      </c>
      <c r="AJ22" s="18" t="inlineStr">
        <is>
          <t>NOT_APPLIED</t>
        </is>
      </c>
      <c r="AK22" s="16" t="inlineStr">
        <is>
          <t>—</t>
        </is>
      </c>
      <c r="AL22" s="18" t="inlineStr">
        <is>
          <t>—</t>
        </is>
      </c>
      <c r="AM22" s="19" t="inlineStr">
        <is>
          <t>UNAVAILABLE</t>
        </is>
      </c>
      <c r="AN22" s="19" t="inlineStr">
        <is>
          <t>UNAVAILABLE</t>
        </is>
      </c>
      <c r="AO22" s="19" t="inlineStr">
        <is>
          <t>UNAVAILABLE</t>
        </is>
      </c>
      <c r="AP22" s="19" t="inlineStr">
        <is>
          <t>UNAVAILABLE</t>
        </is>
      </c>
      <c r="AQ22" s="18" t="inlineStr">
        <is>
          <t>—</t>
        </is>
      </c>
      <c r="AR22" s="15" t="inlineStr">
        <is>
          <t>No numeric threshold</t>
        </is>
      </c>
      <c r="AS22" s="22" t="inlineStr">
        <is>
          <t>{"coverage":1.0,"epoch_maturity":1.0,"sample":1.0,"signal":1.0,"stability":0.91}</t>
        </is>
      </c>
      <c r="AT22" s="22" t="inlineStr">
        <is>
          <t>["EVID-A79643C41CABC592572377D2","EVID-B3A1C76A1256AB7EA8739C31","EVID-256B2F425547D69D3B72A3A1","EVID-F27A7E33A3F59F365A5F2A13","EVID-5257C5DF3373073974DA58CB","EVID-E6596ABFC4A7555BB31D7835","EVID-F9172897F8EA5E1460F7AED3","EVID-5B97CD1773C12505CBA9E9E0","EVID-5081D66C44958CDE25B84E14","EVID-A03A50B0A17A58F8B66899A5","EVID-1A6A8DE3CE8B9EC7EB08FD23","EVID-E1C905461AC9721CD8B685A6","EVID-CC00770AFFDC1E9E926E98F8","EVID-990E7C65C9A55CFB360EA05A","EVID-3DE1D1B65EC8D6C5C825F4CD","EVID-A5222E97CA81F6CAE91BF10A","EVID-2774AF84EAE8D6AA54B380CA"]</t>
        </is>
      </c>
      <c r="AU22" s="22" t="inlineStr">
        <is>
          <t>{"EVID-1A6A8DE3CE8B9EC7EB08FD23":{"comparator":"","epoch_scope":"CURRENT","evidence_id":"EVID-1A6A8DE3CE8B9EC7EB08FD23","interpretation":"Tableau client workload mix context.","metric":"tableau_queries_30","observation_window":"last 30 days within current epoch","source":"system.query.history","source_field":"client_application","threshold":null,"unit":"queries","value":0},"EVID-256B2F425547D69D3B72A3A1":{"comparator":"","epoch_scope":"CURRENT","evidence_id":"EVID-256B2F425547D69D3B72A3A1","interpretation":"Query-tag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epoch","source":"system.query.history","source_field":"query_tags","threshold":null,"unit":"%","value":70.0},"EVID-2774AF84EAE8D6AA54B380CA":{"comparator":"","epoch_scope":"CURRENT","evidence_id":"EVID-2774AF84EAE8D6AA54B380CA","interpretation":"Calendar-day coverage available to the forward cost model.","metric":"cost_history_days","observation_window":"current_epoch","source":"system.billing.usage","source_field":"usage_date","threshold":null,"unit":"days","value":214},"EVID-3DE1D1B65EC8D6C5C825F4CD":{"comparator":"","epoch_scope":"CURRENT","evidence_id":"EVID-3DE1D1B65EC8D6C5C825F4CD","interpretation":"No-change forward DBU cost forecast anchored to the current configuration epoch.","metric":"forward_dbu_cost_365d","observation_window":"forward_365d","source":"derived","source_field":"epoch-runrate-v2.7","threshold":null,"unit":"USD","value":48000.0},"EVID-5081D66C44958CDE25B84E14":{"comparator":"","epoch_scope":"CURRENT","evidence_id":"EVID-5081D66C44958CDE25B84E14","interpretation":"Databricks SQL editor/query workload mix context.","metric":"sql_editor_queries_30","observation_window":"last 30 days within current epoch","source":"system.query.history","source_field":"query_source.sql_query_id","threshold":null,"unit":"queries","value":1200},"EVID-5257C5DF3373073974DA58CB":{"comparator":"","epoch_scope":"CURRENT","evidence_id":"EVID-5257C5DF3373073974DA58CB","interpretation":"Job workload mix context.","metric":"job_queries_30","observation_window":"last 30 days within current epoch","source":"system.query.history","source_field":"query_source.job_info.job_id","threshold":null,"unit":"queries","value":0},"EVID-5B97CD1773C12505CBA9E9E0":{"comparator":"","epoch_scope":"CURRENT","evidence_id":"EVID-5B97CD1773C12505CBA9E9E0","interpretation":"Alert workload mix context.","metric":"alert_queries_30","observation_window":"last 30 days within current epoch","source":"system.query.history","source_field":"query_source.alert_id","threshold":null,"unit":"queries","value":0},"EVID-990E7C65C9A55CFB360EA05A":{"comparator":"","epoch_scope":"CURRENT","evidence_id":"EVID-990E7C65C9A55CFB360EA05A","interpretation":"Observed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price","threshold":null,"unit":"USD","value":42240.0},"EVID-A03A50B0A17A58F8B66899A5":{"comparator":"","epoch_scope":"CURRENT","evidence_id":"EVID-A03A50B0A17A58F8B66899A5","interpretation":"Power BI client workload mix context.","metric":"power_bi_queries_30","observation_window":"last 30 days within current epoch","source":"system.query.history","source_field":"client_application","threshold":null,"unit":"queries","value":3750},"EVID-A5222E97CA81F6CAE91BF10A":{"comparator":"","epoch_scope":"CURRENT","evidence_id":"EVID-A5222E97CA81F6CAE91BF10A","interpretation":"Forward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21285.98},"EVID-A79643C41CABC592572377D2":{"comparator":"","epoch_scope":"CURRENT","evidence_id":"EVID-A79643C41CABC592572377D2","interpretation":"Current warehouse type.","metric":"warehouse_type","observation_window":"current epoch","source":"system.compute.warehouses","source_field":"warehouse_type","threshold":null,"unit":"value","value":"PRO"},"EVID-B3A1C76A1256AB7EA8739C31":{"comparator":"","epoch_scope":"CURRENT","evidence_id":"EVID-B3A1C76A1256AB7EA8739C31","interpretation":"Observed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days","source":"system.billing.usage","source_field":"product_features.is_serverless","threshold":null,"unit":"%","value":0.0},"EVID-CC00770AFFDC1E9E926E98F8":{"comparator":"","epoch_scope":"CURRENT","evidence_id":"EVID-CC00770AFFDC1E9E926E98F8","interpretation":"Potential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only)","threshold":null,"unit":"queries","value":0},"EVID-E1C905461AC9721CD8B685A6":{"comparator":"","epoch_scope":"CURRENT","evidence_id":"EVID-E1C905461AC9721CD8B685A6","interpretation":"Coverage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epoch","source":"system.query.history","source_field":"statement_text","threshold":null,"unit":"%","value":100.0},"EVID-E6596ABFC4A7555BB31D7835":{"comparator":"","epoch_scope":"CURRENT","evidence_id":"EVID-E6596ABFC4A7555BB31D7835","interpretation":"Notebook workload mix context.","metric":"notebook_queries_30","observation_window":"last 30 days within current epoch","source":"system.query.history","source_field":"query_source.notebook_id","threshold":null,"unit":"queries","value":0},"EVID-F27A7E33A3F59F365A5F2A13":{"comparator":"","epoch_scope":"CURRENT","evidence_id":"EVID-F27A7E33A3F59F365A5F2A13","interpretation":"Dashboard workload mix context.","metric":"dashboard_queries_30","observation_window":"last 30 days within current epoch","source":"system.query.history","source_field":"query_source.dashboard_id","threshold":null,"unit":"queries","value":11250},"EVID-F9172897F8EA5E1460F7AED3":{"comparator":"","epoch_scope":"CURRENT","evidence_id":"EVID-F9172897F8EA5E1460F7AED3","interpretation":"Genie workload mix context.","metric":"genie_queries_30","observation_window":"last 30 days within current epoch","source":"system.query.history","source_field":"query_source.genie_space_id","threshold":null,"unit":"queries","value":0}}</t>
        </is>
      </c>
      <c r="AV22" s="22" t="inlineStr">
        <is>
          <t>[]</t>
        </is>
      </c>
      <c r="AW22" s="22" t="inlineStr">
        <is>
          <t>[]</t>
        </is>
      </c>
      <c r="AX22" s="22" t="inlineStr">
        <is>
          <t>["warehouse_size","max_clusters","min_clusters","auto_stop_minutes"]</t>
        </is>
      </c>
      <c r="AY22" s="22" t="inlineStr">
        <is>
          <t>["A_B_COST_PERFORMANCE_VALIDATION_REQUIRED"]</t>
        </is>
      </c>
      <c r="AZ22" s="22" t="inlineStr">
        <is>
          <t>[{"execution_state":"READY_FOR_CANARY","scenario_id":"SCN-68F9545F52E814CE6E2CDC73","scenario_name":"Plan B — Serverless migration experiment","step":2}]</t>
        </is>
      </c>
      <c r="BA22" s="22" t="inlineStr">
        <is>
          <t>[]</t>
        </is>
      </c>
    </row>
    <row r="23" ht="32" customHeight="1">
      <c r="A23" s="14" t="inlineStr">
        <is>
          <t>PKG-CC33BDB742BBCA3EB867C0A2</t>
        </is>
      </c>
      <c r="B23" s="14" t="inlineStr">
        <is>
          <t>CAND-377F9ED8A2D81DF0AEB07C32</t>
        </is>
      </c>
      <c r="C23" s="14" t="inlineStr">
        <is>
          <t>WH-CHANNEL-CURRENT-001</t>
        </is>
      </c>
      <c r="D23" s="14" t="inlineStr">
        <is>
          <t>1234567890123456</t>
        </is>
      </c>
      <c r="E23" s="14" t="inlineStr">
        <is>
          <t>wh-synth-005</t>
        </is>
      </c>
      <c r="F23" s="15" t="inlineStr">
        <is>
          <t>Finance Concurrency</t>
        </is>
      </c>
      <c r="G23" s="16" t="inlineStr">
        <is>
          <t>finance-platform@databricks.example</t>
        </is>
      </c>
      <c r="H23" s="14" t="inlineStr">
        <is>
          <t>EPOCH-751A15DDC2A55528A0095BDE</t>
        </is>
      </c>
      <c r="I23" s="18" t="inlineStr">
        <is>
          <t>warehouse_channel</t>
        </is>
      </c>
      <c r="J23" s="18" t="inlineStr">
        <is>
          <t>NO_CHANGE</t>
        </is>
      </c>
      <c r="K23" s="15" t="inlineStr">
        <is>
          <t>STABILITY</t>
        </is>
      </c>
      <c r="L23" s="15" t="inlineStr">
        <is>
          <t>CURRENT</t>
        </is>
      </c>
      <c r="M23" s="15" t="inlineStr">
        <is>
          <t>CURRENT</t>
        </is>
      </c>
      <c r="N23" s="15" t="inlineStr">
        <is>
          <t>No channel change indicated.</t>
        </is>
      </c>
      <c r="O23" s="21" t="n">
        <v>0.8</v>
      </c>
      <c r="P23" s="18" t="inlineStr">
        <is>
          <t>HIGH</t>
        </is>
      </c>
      <c r="Q23" s="18" t="b">
        <v>1</v>
      </c>
      <c r="R23" s="16" t="inlineStr">
        <is>
          <t>USD</t>
        </is>
      </c>
      <c r="S23" s="18" t="inlineStr">
        <is>
          <t>NO_CHANGE</t>
        </is>
      </c>
      <c r="T23" s="19" t="n">
        <v>36000</v>
      </c>
      <c r="U23" s="19" t="n">
        <v>5380.16</v>
      </c>
      <c r="V23" s="19" t="n">
        <v>41380.16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41380.16</v>
      </c>
      <c r="AG23" s="19" t="n">
        <v>41380.16</v>
      </c>
      <c r="AH23" s="19" t="n">
        <v>41380.16</v>
      </c>
      <c r="AI23" s="18" t="b">
        <v>0</v>
      </c>
      <c r="AJ23" s="18" t="inlineStr">
        <is>
          <t>NOT_APPLIED</t>
        </is>
      </c>
      <c r="AK23" s="16" t="inlineStr">
        <is>
          <t>—</t>
        </is>
      </c>
      <c r="AL23" s="18" t="inlineStr">
        <is>
          <t>—</t>
        </is>
      </c>
      <c r="AM23" s="19" t="inlineStr">
        <is>
          <t>UNAVAILABLE</t>
        </is>
      </c>
      <c r="AN23" s="19" t="inlineStr">
        <is>
          <t>UNAVAILABLE</t>
        </is>
      </c>
      <c r="AO23" s="19" t="inlineStr">
        <is>
          <t>UNAVAILABLE</t>
        </is>
      </c>
      <c r="AP23" s="19" t="inlineStr">
        <is>
          <t>UNAVAILABLE</t>
        </is>
      </c>
      <c r="AQ23" s="18" t="inlineStr">
        <is>
          <t>—</t>
        </is>
      </c>
      <c r="AR23" s="15" t="inlineStr">
        <is>
          <t>No numeric threshold</t>
        </is>
      </c>
      <c r="AS23" s="22" t="inlineStr">
        <is>
          <t>{"coverage":1.0,"epoch_maturity":1.0,"sample":1.0,"signal":0.7,"stability":0.91}</t>
        </is>
      </c>
      <c r="AT23" s="22" t="inlineStr">
        <is>
          <t>["EVID-92F3FA13732786DAEE01C242","EVID-038E46D416CD216AAD824440","EVID-08768924F23A35F26342A6B5","EVID-0E02597D3213CE7CBA74C86C","EVID-EE9A980D23EE91DC1253C3A7"]</t>
        </is>
      </c>
      <c r="AU23" s="22" t="inlineStr">
        <is>
          <t>{"EVID-038E46D416CD216AAD824440":{"comparator":"","epoch_scope":"CURRENT","evidence_id":"EVID-038E46D416CD216AAD824440","interpretation":"Observed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price","threshold":null,"unit":"USD","value":31680.0},"EVID-08768924F23A35F26342A6B5":{"comparator":"","epoch_scope":"CURRENT","evidence_id":"EVID-08768924F23A35F26342A6B5","interpretation":"No-change forward DBU cost forecast anchored to the current configuration epoch.","metric":"forward_dbu_cost_365d","observation_window":"forward_365d","source":"derived","source_field":"epoch-runrate-v2.7","threshold":null,"unit":"USD","value":36000.0},"EVID-0E02597D3213CE7CBA74C86C":{"comparator":"","epoch_scope":"CURRENT","evidence_id":"EVID-0E02597D3213CE7CBA74C86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5380.16},"EVID-92F3FA13732786DAEE01C242":{"comparator":"","epoch_scope":"CURRENT","evidence_id":"EVID-92F3FA13732786DAEE01C242","interpretation":"Current release channel from the current configuration epoch.","metric":"warehouse_channel","observation_window":"current epoch","source":"system.compute.warehouses","source_field":"warehouse_channel","threshold":null,"unit":"value","value":"CURRENT"},"EVID-EE9A980D23EE91DC1253C3A7":{"comparator":"","epoch_scope":"CURRENT","evidence_id":"EVID-EE9A980D23EE91DC1253C3A7","interpretation":"Calendar-day coverage available to the forward cost model.","metric":"cost_history_days","observation_window":"current_epoch","source":"system.billing.usage","source_field":"usage_date","threshold":null,"unit":"days","value":254}}</t>
        </is>
      </c>
      <c r="AV23" s="22" t="inlineStr">
        <is>
          <t>[]</t>
        </is>
      </c>
      <c r="AW23" s="22" t="inlineStr">
        <is>
          <t>[]</t>
        </is>
      </c>
      <c r="AX23" s="22" t="inlineStr">
        <is>
          <t>[]</t>
        </is>
      </c>
      <c r="AY23" s="22" t="inlineStr">
        <is>
          <t>[]</t>
        </is>
      </c>
      <c r="AZ23" s="22" t="inlineStr">
        <is>
          <t>[]</t>
        </is>
      </c>
      <c r="BA23" s="22" t="inlineStr">
        <is>
          <t>[]</t>
        </is>
      </c>
    </row>
    <row r="24" ht="32" customHeight="1">
      <c r="A24" s="14" t="inlineStr">
        <is>
          <t>PKG-CC33BDB742BBCA3EB867C0A2</t>
        </is>
      </c>
      <c r="B24" s="14" t="inlineStr">
        <is>
          <t>CAND-F183F7D1929B7C7CD565A918</t>
        </is>
      </c>
      <c r="C24" s="14" t="inlineStr">
        <is>
          <t>WH-SIZE-RIGHTSIZE-001</t>
        </is>
      </c>
      <c r="D24" s="14" t="inlineStr">
        <is>
          <t>1234567890123456</t>
        </is>
      </c>
      <c r="E24" s="14" t="inlineStr">
        <is>
          <t>wh-synth-005</t>
        </is>
      </c>
      <c r="F24" s="15" t="inlineStr">
        <is>
          <t>Finance Concurrency</t>
        </is>
      </c>
      <c r="G24" s="16" t="inlineStr">
        <is>
          <t>finance-platform@databricks.example</t>
        </is>
      </c>
      <c r="H24" s="14" t="inlineStr">
        <is>
          <t>EPOCH-751A15DDC2A55528A0095BDE</t>
        </is>
      </c>
      <c r="I24" s="18" t="inlineStr">
        <is>
          <t>warehouse_size</t>
        </is>
      </c>
      <c r="J24" s="18" t="inlineStr">
        <is>
          <t>NO_CHANGE</t>
        </is>
      </c>
      <c r="K24" s="15" t="inlineStr">
        <is>
          <t>COST_AND_PERFORMANCE</t>
        </is>
      </c>
      <c r="L24" s="15" t="inlineStr">
        <is>
          <t>MEDIUM</t>
        </is>
      </c>
      <c r="M24" s="15" t="inlineStr">
        <is>
          <t>MEDIUM</t>
        </is>
      </c>
      <c r="N24" s="15" t="inlineStr">
        <is>
          <t>No deterministic upsize signal and downsize safety criteria are not all satisfied.</t>
        </is>
      </c>
      <c r="O24" s="21" t="n">
        <v>0.8</v>
      </c>
      <c r="P24" s="18" t="inlineStr">
        <is>
          <t>HIGH</t>
        </is>
      </c>
      <c r="Q24" s="18" t="b">
        <v>1</v>
      </c>
      <c r="R24" s="16" t="inlineStr">
        <is>
          <t>USD</t>
        </is>
      </c>
      <c r="S24" s="18" t="inlineStr">
        <is>
          <t>UNAVAILABLE</t>
        </is>
      </c>
      <c r="T24" s="19" t="n">
        <v>36000</v>
      </c>
      <c r="U24" s="19" t="n">
        <v>5380.16</v>
      </c>
      <c r="V24" s="19" t="n">
        <v>41380.16</v>
      </c>
      <c r="W24" s="19" t="n">
        <v>0</v>
      </c>
      <c r="X24" s="19" t="n">
        <v>0</v>
      </c>
      <c r="Y24" s="19" t="n">
        <v>0</v>
      </c>
      <c r="Z24" s="19" t="inlineStr">
        <is>
          <t>UNAVAILABLE</t>
        </is>
      </c>
      <c r="AA24" s="19" t="inlineStr">
        <is>
          <t>UNAVAILABLE</t>
        </is>
      </c>
      <c r="AB24" s="19" t="inlineStr">
        <is>
          <t>UNAVAILABLE</t>
        </is>
      </c>
      <c r="AC24" s="19" t="inlineStr">
        <is>
          <t>UNAVAILABLE</t>
        </is>
      </c>
      <c r="AD24" s="19" t="inlineStr">
        <is>
          <t>UNAVAILABLE</t>
        </is>
      </c>
      <c r="AE24" s="19" t="inlineStr">
        <is>
          <t>UNAVAILABLE</t>
        </is>
      </c>
      <c r="AF24" s="19" t="inlineStr">
        <is>
          <t>UNAVAILABLE</t>
        </is>
      </c>
      <c r="AG24" s="19" t="inlineStr">
        <is>
          <t>UNAVAILABLE</t>
        </is>
      </c>
      <c r="AH24" s="19" t="inlineStr">
        <is>
          <t>UNAVAILABLE</t>
        </is>
      </c>
      <c r="AI24" s="18" t="b">
        <v>0</v>
      </c>
      <c r="AJ24" s="18" t="inlineStr">
        <is>
          <t>NOT_APPLIED</t>
        </is>
      </c>
      <c r="AK24" s="16" t="inlineStr">
        <is>
          <t>—</t>
        </is>
      </c>
      <c r="AL24" s="18" t="inlineStr">
        <is>
          <t>—</t>
        </is>
      </c>
      <c r="AM24" s="19" t="inlineStr">
        <is>
          <t>UNAVAILABLE</t>
        </is>
      </c>
      <c r="AN24" s="19" t="inlineStr">
        <is>
          <t>UNAVAILABLE</t>
        </is>
      </c>
      <c r="AO24" s="19" t="inlineStr">
        <is>
          <t>UNAVAILABLE</t>
        </is>
      </c>
      <c r="AP24" s="19" t="inlineStr">
        <is>
          <t>UNAVAILABLE</t>
        </is>
      </c>
      <c r="AQ24" s="18" t="inlineStr">
        <is>
          <t>—</t>
        </is>
      </c>
      <c r="AR24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24" s="22" t="inlineStr">
        <is>
          <t>{"coverage":1.0,"epoch_maturity":1.0,"sample":1.0,"signal":0.7,"stability":0.91}</t>
        </is>
      </c>
      <c r="AT24" s="22" t="inlineStr">
        <is>
          <t>["EVID-A49976C5217F3BD58CB83CF6","EVID-DE39AAE7BF440BBDEED43AE7","EVID-5B6C5E71AB278ACD11F995EE","EVID-ACF2755A20123E6FB62F422E","EVID-B568E4C752C9E441A2D4C225","EVID-F711CDE22C38E70F8CB18F5F","EVID-C39CBA43019A7E2E41D52699","EVID-1AAD84553C8E637E76730749","EVID-038E46D416CD216AAD824440","EVID-08768924F23A35F26342A6B5","EVID-0E02597D3213CE7CBA74C86C","EVID-EE9A980D23EE91DC1253C3A7"]</t>
        </is>
      </c>
      <c r="AU24" s="22" t="inlineStr">
        <is>
          <t>{"EVID-038E46D416CD216AAD824440":{"comparator":"","epoch_scope":"CURRENT","evidence_id":"EVID-038E46D416CD216AAD824440","interpretation":"Observed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price","threshold":null,"unit":"USD","value":31680.0},"EVID-08768924F23A35F26342A6B5":{"comparator":"","epoch_scope":"CURRENT","evidence_id":"EVID-08768924F23A35F26342A6B5","interpretation":"No-change forward DBU cost forecast anchored to the current configuration epoch.","metric":"forward_dbu_cost_365d","observation_window":"forward_365d","source":"derived","source_field":"epoch-runrate-v2.7","threshold":null,"unit":"USD","value":36000.0},"EVID-0E02597D3213CE7CBA74C86C":{"comparator":"","epoch_scope":"CURRENT","evidence_id":"EVID-0E02597D3213CE7CBA74C86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5380.16},"EVID-1AAD84553C8E637E76730749":{"comparator":"","epoch_scope":"CURRENT","evidence_id":"EVID-1AAD84553C8E637E76730749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epoch","source":"system.query.history","source_field":"read_io_cache_percent","threshold":null,"unit":"%","value":35.0},"EVID-5B6C5E71AB278ACD11F995EE":{"comparator":"&gt;= evidence minimum for upsize","epoch_scope":"CURRENT","evidence_id":"EVID-5B6C5E71AB278ACD11F995EE","interpretation":"Queries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epoch","source":"system.query.history","source_field":"spilled_local_bytes","threshold":20,"unit":"queries","value":0},"EVID-A49976C5217F3BD58CB83CF6":{"comparator":"","epoch_scope":"CURRENT","evidence_id":"EVID-A49976C5217F3BD58CB83CF6","interpretation":"Current warehouse size.","metric":"warehouse_size","observation_window":"current epoch","source":"system.compute.warehouses","source_field":"warehouse_size","threshold":null,"unit":"value","value":"MEDIUM"},"EVID-ACF2755A20123E6FB62F422E":{"comparator":"&gt;= upsize signal","epoch_scope":"CURRENT","evidence_id":"EVID-ACF2755A20123E6FB62F422E","interpretation":"Severity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epoch","source":"system.query.history","source_field":"spilled_local_bytes","threshold":1073741824,"unit":"bytes","value":0},"EVID-B568E4C752C9E441A2D4C225":{"comparator":"&lt;= downsize-safe","epoch_scope":"CURRENT","evidence_id":"EVID-B568E4C752C9E441A2D4C225","interpretation":"Concurrency pressure during the decision window.","metric":"queued_query_pct_30","observation_window":"last 30 days within current epoch","source":"system.query.history","source_field":"waiting_at_capacity_duration_ms","threshold":0.5,"unit":"%","value":12.0},"EVID-C39CBA43019A7E2E41D52699":{"comparator":"&lt;= downsize-safe","epoch_scope":"CURRENT","evidence_id":"EVID-C39CBA43019A7E2E41D52699","interpretation":"Extreme tail execution latency guardrail.","metric":"p99_execution_ms_30","observation_window":"last 30 days within current epoch","source":"system.query.history","source_field":"execution_duration_ms","threshold":30000,"unit":"ms","value":15000},"EVID-DE39AAE7BF440BBDEED43AE7":{"comparator":"&gt;= upsize signal","epoch_scope":"CURRENT","evidence_id":"EVID-DE39AAE7BF440BBDEED43AE7","interpretation":"Frequency of queries spilling to local storage.","metric":"spill_query_pct_30","observation_window":"last 30 days within current epoch","source":"system.query.history","source_field":"spilled_local_bytes","threshold":2.0,"unit":"%","value":0.0},"EVID-EE9A980D23EE91DC1253C3A7":{"comparator":"","epoch_scope":"CURRENT","evidence_id":"EVID-EE9A980D23EE91DC1253C3A7","interpretation":"Calendar-day coverage available to the forward cost model.","metric":"cost_history_days","observation_window":"current_epoch","source":"system.billing.usage","source_field":"usage_date","threshold":null,"unit":"days","value":254},"EVID-F711CDE22C38E70F8CB18F5F":{"comparator":"&lt;= downsize-safe","epoch_scope":"CURRENT","evidence_id":"EVID-F711CDE22C38E70F8CB18F5F","interpretation":"Tail execution latency guardrail.","metric":"p95_execution_ms_30","observation_window":"last 30 days within current epoch","source":"system.query.history","source_field":"execution_duration_ms","threshold":5000,"unit":"ms","value":3600}}</t>
        </is>
      </c>
      <c r="AV24" s="22" t="inlineStr">
        <is>
          <t>[{"comparator":"&gt;= upsize signal","evidence_id":"EVID-DE39AAE7BF440BBDEED43AE7","metric":"spill_query_pct_30","threshold":2.0},{"comparator":"&gt;= evidence minimum for upsize","evidence_id":"EVID-5B6C5E71AB278ACD11F995EE","metric":"spill_queries_30","threshold":20},{"comparator":"&gt;= upsize signal","evidence_id":"EVID-ACF2755A20123E6FB62F422E","metric":"p95_spill_bytes_when_spilled_30","threshold":1073741824},{"comparator":"&lt;= downsize-safe","evidence_id":"EVID-B568E4C752C9E441A2D4C225","metric":"queued_query_pct_30","threshold":0.5},{"comparator":"&lt;= downsize-safe","evidence_id":"EVID-F711CDE22C38E70F8CB18F5F","metric":"p95_execution_ms_30","threshold":5000},{"comparator":"&lt;= downsize-safe","evidence_id":"EVID-C39CBA43019A7E2E41D52699","metric":"p99_execution_ms_30","threshold":30000}]</t>
        </is>
      </c>
      <c r="AW24" s="22" t="inlineStr">
        <is>
          <t>[{"condition":null,"dependency_type":"KNOB","ref_id":"warehouse_channel"}]</t>
        </is>
      </c>
      <c r="AX24" s="22" t="inlineStr">
        <is>
          <t>[]</t>
        </is>
      </c>
      <c r="AY24" s="22" t="inlineStr">
        <is>
          <t>["QUEUE_PRESSURE_PRESENT"]</t>
        </is>
      </c>
      <c r="AZ24" s="22" t="inlineStr">
        <is>
          <t>[]</t>
        </is>
      </c>
      <c r="BA24" s="22" t="inlineStr">
        <is>
          <t>[]</t>
        </is>
      </c>
    </row>
    <row r="25" ht="32" customHeight="1">
      <c r="A25" s="14" t="inlineStr">
        <is>
          <t>PKG-CC33BDB742BBCA3EB867C0A2</t>
        </is>
      </c>
      <c r="B25" s="14" t="inlineStr">
        <is>
          <t>CAND-80AFEAAC17B90B6740091CD3</t>
        </is>
      </c>
      <c r="C25" s="14" t="inlineStr">
        <is>
          <t>WH-MAX-CLUSTER-INCREASE-001</t>
        </is>
      </c>
      <c r="D25" s="14" t="inlineStr">
        <is>
          <t>1234567890123456</t>
        </is>
      </c>
      <c r="E25" s="14" t="inlineStr">
        <is>
          <t>wh-synth-005</t>
        </is>
      </c>
      <c r="F25" s="15" t="inlineStr">
        <is>
          <t>Finance Concurrency</t>
        </is>
      </c>
      <c r="G25" s="16" t="inlineStr">
        <is>
          <t>finance-platform@databricks.example</t>
        </is>
      </c>
      <c r="H25" s="14" t="inlineStr">
        <is>
          <t>EPOCH-751A15DDC2A55528A0095BDE</t>
        </is>
      </c>
      <c r="I25" s="18" t="inlineStr">
        <is>
          <t>max_clusters</t>
        </is>
      </c>
      <c r="J25" s="18" t="inlineStr">
        <is>
          <t>ACTIONABLE</t>
        </is>
      </c>
      <c r="K25" s="15" t="inlineStr">
        <is>
          <t>PERFORMANCE</t>
        </is>
      </c>
      <c r="L25" s="15" t="n">
        <v>2</v>
      </c>
      <c r="M25" s="15" t="n">
        <v>3</v>
      </c>
      <c r="N25" s="15" t="inlineStr">
        <is>
          <t>Sustained queueing plus observed saturation at the current ceiling indicates more concurrency capacity.</t>
        </is>
      </c>
      <c r="O25" s="21" t="n">
        <v>0.93</v>
      </c>
      <c r="P25" s="18" t="inlineStr">
        <is>
          <t>HIGH</t>
        </is>
      </c>
      <c r="Q25" s="18" t="b">
        <v>1</v>
      </c>
      <c r="R25" s="16" t="inlineStr">
        <is>
          <t>USD</t>
        </is>
      </c>
      <c r="S25" s="18" t="inlineStr">
        <is>
          <t>COST_INCREASE</t>
        </is>
      </c>
      <c r="T25" s="19" t="n">
        <v>36000</v>
      </c>
      <c r="U25" s="19" t="n">
        <v>5380.16</v>
      </c>
      <c r="V25" s="19" t="n">
        <v>41380.16</v>
      </c>
      <c r="W25" s="19" t="n">
        <v>-10800</v>
      </c>
      <c r="X25" s="19" t="n">
        <v>-5400</v>
      </c>
      <c r="Y25" s="19" t="n">
        <v>0</v>
      </c>
      <c r="Z25" s="19" t="n">
        <v>-1614.05</v>
      </c>
      <c r="AA25" s="19" t="n">
        <v>-807.02</v>
      </c>
      <c r="AB25" s="19" t="n">
        <v>0</v>
      </c>
      <c r="AC25" s="19" t="n">
        <v>-12414.05</v>
      </c>
      <c r="AD25" s="19" t="n">
        <v>-6207.02</v>
      </c>
      <c r="AE25" s="19" t="n">
        <v>0</v>
      </c>
      <c r="AF25" s="19" t="n">
        <v>41380.16</v>
      </c>
      <c r="AG25" s="19" t="n">
        <v>47587.18</v>
      </c>
      <c r="AH25" s="19" t="n">
        <v>53794.21</v>
      </c>
      <c r="AI25" s="18" t="b">
        <v>0</v>
      </c>
      <c r="AJ25" s="18" t="inlineStr">
        <is>
          <t>NOT_APPLIED</t>
        </is>
      </c>
      <c r="AK25" s="16" t="inlineStr">
        <is>
          <t>—</t>
        </is>
      </c>
      <c r="AL25" s="18" t="inlineStr">
        <is>
          <t>—</t>
        </is>
      </c>
      <c r="AM25" s="19" t="inlineStr">
        <is>
          <t>UNAVAILABLE</t>
        </is>
      </c>
      <c r="AN25" s="19" t="inlineStr">
        <is>
          <t>UNAVAILABLE</t>
        </is>
      </c>
      <c r="AO25" s="19" t="inlineStr">
        <is>
          <t>UNAVAILABLE</t>
        </is>
      </c>
      <c r="AP25" s="19" t="inlineStr">
        <is>
          <t>UNAVAILABLE</t>
        </is>
      </c>
      <c r="AQ25" s="18" t="inlineStr">
        <is>
          <t>—</t>
        </is>
      </c>
      <c r="AR25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25" s="22" t="inlineStr">
        <is>
          <t>{"coverage":1.0,"epoch_maturity":1.0,"sample":1.0,"signal":1.0,"stability":0.91}</t>
        </is>
      </c>
      <c r="AT25" s="22" t="inlineStr">
        <is>
          <t>["EVID-4E3921D0FBAE677EEECAE0EB","EVID-67D867B3C4DDC384C88CCEAC","EVID-B60E91AD0D5EE1DCCDF5E814","EVID-CF2F6C72A37105641E360F0A","EVID-C773DF3C6AB6E0020A078BA0","EVID-243A648173EECA82637526A2","EVID-038E46D416CD216AAD824440","EVID-08768924F23A35F26342A6B5","EVID-0E02597D3213CE7CBA74C86C","EVID-EE9A980D23EE91DC1253C3A7"]</t>
        </is>
      </c>
      <c r="AU25" s="22" t="inlineStr">
        <is>
          <t>{"EVID-038E46D416CD216AAD824440":{"comparator":"","epoch_scope":"CURRENT","evidence_id":"EVID-038E46D416CD216AAD824440","interpretation":"Observed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price","threshold":null,"unit":"USD","value":31680.0},"EVID-08768924F23A35F26342A6B5":{"comparator":"","epoch_scope":"CURRENT","evidence_id":"EVID-08768924F23A35F26342A6B5","interpretation":"No-change forward DBU cost forecast anchored to the current configuration epoch.","metric":"forward_dbu_cost_365d","observation_window":"forward_365d","source":"derived","source_field":"epoch-runrate-v2.7","threshold":null,"unit":"USD","value":36000.0},"EVID-0E02597D3213CE7CBA74C86C":{"comparator":"","epoch_scope":"CURRENT","evidence_id":"EVID-0E02597D3213CE7CBA74C86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unavailable.","metric":"forward_aws_cost_365d","observation_window":"forward_365d","source":"derived","source_field":"aws_current_epoch_cost_model","threshold":null,"unit":"USD","value":5380.16},"EVID-243A648173EECA82637526A2":{"comparator":"&gt;= increase signal","epoch_scope":"CURRENT","evidence_id":"EVID-243A648173EECA82637526A2","interpretation":"Severity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65000},"EVID-4E3921D0FBAE677EEECAE0EB":{"comparator":"","epoch_scope":"CURRENT","evidence_id":"EVID-4E3921D0FBAE677EEECAE0EB","interpretation":"Configured concurrency ceiling.","metric":"max_clusters","observation_window":"current epoch","source":"system.compute.warehouses","source_field":"max_clusters","threshold":null,"unit":"value","value":2},"EVID-67D867B3C4DDC384C88CCEAC":{"comparator":"","epoch_scope":"CURRENT","evidence_id":"EVID-67D867B3C4DDC384C88CCEAC","interpretation":"Highest observed scale level.","metric":"max_observed_clusters","observation_window":"current epoch","source":"system.compute.warehouse_events","source_field":"cluster_count","threshold":null,"unit":"clusters","value":2},"EVID-B60E91AD0D5EE1DCCDF5E814":{"comparator":"&lt;= reduce-safe","epoch_scope":"CURRENT","evidence_id":"EVID-B60E91AD0D5EE1DCCDF5E814","interpretation":"Fraction of running time at configured maximum.","metric":"time_at_max_pct","observation_window":"current epoch","source":"system.compute.warehouse_events","source_field":"cluster_count","threshold":1.0,"unit":"%","value":45.0},"EVID-C773DF3C6AB6E0020A078BA0":{"comparator":"&gt;= evidence minimum for increase","epoch_scope":"CURRENT","evidence_id":"EVID-C773DF3C6AB6E0020A078BA0","interpretation":"Queries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epoch","source":"system.query.history","source_field":"waiting_at_capacity_duration_ms","threshold":20,"unit":"queries","value":2160},"EVID-CF2F6C72A37105641E360F0A":{"comparator":"&gt;= increase signal","epoch_scope":"CURRENT","evidence_id":"EVID-CF2F6C72A37105641E360F0A","interpretation":"Frequency of capacity queueing.","metric":"queued_query_pct_30","observation_window":"last 30 days within current epoch","source":"system.query.history","source_field":"waiting_at_capacity_duration_ms","threshold":5.0,"unit":"%","value":12.0},"EVID-EE9A980D23EE91DC1253C3A7":{"comparator":"","epoch_scope":"CURRENT","evidence_id":"EVID-EE9A980D23EE91DC1253C3A7","interpretation":"Calendar-day coverage available to the forward cost model.","metric":"cost_history_days","observation_window":"current_epoch","source":"system.billing.usage","source_field":"usage_date","threshold":null,"unit":"days","value":254}}</t>
        </is>
      </c>
      <c r="AV25" s="22" t="inlineStr">
        <is>
          <t>[{"comparator":"&lt;= reduce-safe","evidence_id":"EVID-B60E91AD0D5EE1DCCDF5E814","metric":"time_at_max_pct","threshold":1.0},{"comparator":"&gt;= increase signal","evidence_id":"EVID-CF2F6C72A37105641E360F0A","metric":"queued_query_pct_30","threshold":5.0},{"comparator":"&gt;= evidence minimum for increase","evidence_id":"EVID-C773DF3C6AB6E0020A078BA0","metric":"queued_queries_30","threshold":20},{"comparator":"&gt;= increase signal","evidence_id":"EVID-243A648173EECA82637526A2","metric":"p95_wait_capacity_ms_when_queued_30","threshold":30000}]</t>
        </is>
      </c>
      <c r="AW25" s="22" t="inlineStr">
        <is>
          <t>[{"condition":null,"dependency_type":"KNOB","ref_id":"warehouse_size"}]</t>
        </is>
      </c>
      <c r="AX25" s="22" t="inlineStr">
        <is>
          <t>["min_clusters"]</t>
        </is>
      </c>
      <c r="AY25" s="22" t="inlineStr">
        <is>
          <t>[]</t>
        </is>
      </c>
      <c r="AZ25" s="22" t="inlineStr">
        <is>
          <t>[{"execution_state":"READY","scenario_id":"SCN-CC786000B1366D95D0796012","scenario_name":"Plan A — Optimize current warehouse type","step":1}]</t>
        </is>
      </c>
      <c r="BA25" s="22" t="inlineStr">
        <is>
          <t>[]</t>
        </is>
      </c>
    </row>
    <row r="26" ht="32" customHeight="1">
      <c r="A26" s="14" t="inlineStr">
        <is>
          <t>PKG-CC33BDB742BBCA3EB867C0A2</t>
        </is>
      </c>
      <c r="B26" s="14" t="inlineStr">
        <is>
          <t>CAND-0EF3E4718784E98BA23D5C7D</t>
        </is>
      </c>
      <c r="C26" s="14" t="inlineStr">
        <is>
          <t>WH-MIN-CLUSTER-ASSESS-001</t>
        </is>
      </c>
      <c r="D26" s="14" t="inlineStr">
        <is>
          <t>1234567890123456</t>
        </is>
      </c>
      <c r="E26" s="14" t="inlineStr">
        <is>
          <t>wh-synth-005</t>
        </is>
      </c>
      <c r="F26" s="15" t="inlineStr">
        <is>
          <t>Finance Concurrency</t>
        </is>
      </c>
      <c r="G26" s="16" t="inlineStr">
        <is>
          <t>finance-platform@databricks.example</t>
        </is>
      </c>
      <c r="H26" s="14" t="inlineStr">
        <is>
          <t>EPOCH-751A15DDC2A55528A0095BDE</t>
        </is>
      </c>
      <c r="I26" s="18" t="inlineStr">
        <is>
          <t>min_clusters</t>
        </is>
      </c>
      <c r="J26" s="18" t="inlineStr">
        <is>
          <t>NO_CHANGE</t>
        </is>
      </c>
      <c r="K26" s="15" t="inlineStr">
        <is>
          <t>COST</t>
        </is>
      </c>
      <c r="L26" s="15" t="n">
        <v>1</v>
      </c>
      <c r="M26" s="15" t="n">
        <v>1</v>
      </c>
      <c r="N26" s="15" t="inlineStr">
        <is>
          <t>Minimum is already 1.</t>
        </is>
      </c>
      <c r="O26" s="21" t="n">
        <v>0.8</v>
      </c>
      <c r="P26" s="18" t="inlineStr">
        <is>
          <t>HIGH</t>
        </is>
      </c>
      <c r="Q26" s="18" t="b">
        <v>1</v>
      </c>
      <c r="R26" s="16" t="inlineStr">
        <is>
          <t>USD</t>
        </is>
      </c>
      <c r="S26" s="18" t="inlineStr">
        <is>
          <t>NO_CHANGE</t>
        </is>
      </c>
      <c r="T26" s="19" t="n">
        <v>36000</v>
      </c>
      <c r="U26" s="19" t="n">
        <v>5380.16</v>
      </c>
      <c r="V26" s="19" t="n">
        <v>41380.16</v>
      </c>
      <c r="W26" s="19" t="n">
        <v>0</v>
      </c>
      <c r="X26" s="19" t="n">
        <v>0</v>
      </c>
      <c r="Y26" s="19" t="n">
        <v>0</v>
      </c>
      <c r="Z26" s="19" t="n">
        <v>0</v>
      </c>
      <c r="AA26" s="19" t="n">
        <v>0</v>
      </c>
      <c r="AB26" s="19" t="n">
        <v>0</v>
      </c>
      <c r="AC26" s="19" t="n">
        <v>0</v>
      </c>
      <c r="AD26" s="19" t="n">
        <v>0</v>
      </c>
      <c r="AE26" s="19" t="n">
        <v>0</v>
      </c>
      <c r="AF26" s="19" t="n">
        <v>41380.16</v>
      </c>
      <c r="AG26" s="19" t="n">
        <v>41380.16</v>
      </c>
      <c r="AH26" s="19" t="n">
        <v>41380.16</v>
      </c>
      <c r="AI26" s="18" t="b">
        <v>0</v>
      </c>
      <c r="AJ26" s="18" t="inlineStr">
        <is>
          <t>NOT_APPLIED</t>
        </is>
      </c>
      <c r="AK26" s="16" t="inlineStr">
        <is>
          <t>—</t>
        </is>
      </c>
      <c r="AL26" s="18" t="inlineStr">
        <is>
          <t>—</t>
        </is>
      </c>
      <c r="AM26" s="19" t="inlineStr">
        <is>
          <t>UNAVAILABLE</t>
        </is>
      </c>
      <c r="AN26" s="19" t="inlineStr">
        <is>
          <t>UNAVAILABLE</t>
        </is>
      </c>
      <c r="AO26" s="19" t="inlineStr">
        <is>
          <t>UNAVAILABLE</t>
        </is>
      </c>
      <c r="AP26" s="19" t="inlineStr">
        <is>
          <t>UNAVAILABLE</t>
        </is>
      </c>
      <c r="AQ26" s="18" t="inlineStr">
        <is>
          <t>—</t>
        </is>
      </c>
      <c r="AR26" s="15" t="inlineStr">
        <is>
          <t>time_at_min_pct &gt;= reduction signal 25.0; queued_query_pct_30 &lt;= safe 0.5; p95_wait_capacity_ms_when_queued_30 &lt;= safe 5000; time_at_max_pct &gt;= blocker 20.0</t>
        </is>
      </c>
      <c r="AS26" s="22" t="inlineStr">
        <is>
          <t>{"coverage":1.0,"epoch_maturity":1.0,"sample":1.0,"signal":0.7,"stability":0.91}</t>
        </is>
      </c>
      <c r="AT26" s="22" t="inlineStr">
        <is>
          <t>["EVID-801493CED8B276A53FB4E7EB","EVID-AED7559DAC9F0BC32BE18F62","EVID-AEBBA0A1312EED28C3E7FF6C","EVID-21D4F887C9029EA0F56850FB","EVID-7708133043264A423E91FC30","EVID-038E46D416CD216AAD824440","EVID-08768924F23A35F26342A6B5","EVID-0E02597D3213CE7CBA74C86C","EVID-EE9A980D23EE91DC1253C3A7"]</t>
        </is>
      </c>
      <c r="AU26" s="22" t="inlineStr">
        <is>
          <t>{"EVID-038E46D416CD216AAD824440":{"comparator":"","epoch_scope":"CURRENT","evidence_id":"EVID-038E46D416CD216AAD824440","interpretation":"Observed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price","threshold":null,"unit":"USD","value":31680.0},"EVID-08768924F23A35F26342A6B5":{"comparator":"","epoch_scope":"CURRENT","evidence_id":"EVID-08768924F23A35F26342A6B5","interpretation":"No-change forward DBU cost forecast anchored to the current configuration epoch.","metric":"forward_dbu_cost_365d","observation_window":"forward_365d","source":"derived","source_field":"epoch-runrate-v2.7","threshold":null,"unit":"USD","value":36000.0},"EVID-0E02597D3213CE7CBA74C86C":{"comparator":"","epoch_scope":"CURRENT","evidence_id":"EVID-0E02597D3213CE7CBA74C86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unavailable.","metric":"forward_aws_cost_365d","observation_window":"forward_365d","source":"derived","source_field":"aws_current_epoch_cost_model","threshold":null,"unit":"USD","value":5380.16},"EVID-21D4F887C9029EA0F56850FB":{"comparator":"&lt;= safe","epoch_scope":"CURRENT","evidence_id":"EVID-21D4F887C9029EA0F56850FB","interpretation":"Queue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epoch","source":"system.query.history","source_field":"waiting_at_capacity_duration_ms","threshold":5000,"unit":"ms","value":65000},"EVID-7708133043264A423E91FC30":{"comparator":"&gt;= blocker","epoch_scope":"CURRENT","evidence_id":"EVID-7708133043264A423E91FC30","interpretation":"Sustained scale pressure blocks minimum reduction.","metric":"time_at_max_pct","observation_window":"current epoch","source":"system.compute.warehouse_events","source_field":"cluster_count","threshold":20.0,"unit":"%","value":45.0},"EVID-801493CED8B276A53FB4E7EB":{"comparator":"","epoch_scope":"CURRENT","evidence_id":"EVID-801493CED8B276A53FB4E7EB","interpretation":"Configured minimum scale.","metric":"min_clusters","observation_window":"current epoch","source":"system.compute.warehouses","source_field":"min_clusters","threshold":null,"unit":"value","value":1},"EVID-AEBBA0A1312EED28C3E7FF6C":{"comparator":"&lt;= safe","epoch_scope":"CURRENT","evidence_id":"EVID-AEBBA0A1312EED28C3E7FF6C","interpretation":"Queue guardrail before reducing baseline capacity.","metric":"queued_query_pct_30","observation_window":"last 30 days within current epoch","source":"system.query.history","source_field":"waiting_at_capacity_duration_ms","threshold":0.5,"unit":"%","value":12.0},"EVID-AED7559DAC9F0BC32BE18F62":{"comparator":"&gt;= reduction signal","epoch_scope":"CURRENT","evidence_id":"EVID-AED7559DAC9F0BC32BE18F62","interpretation":"How often the warehouse sits at its minimum.","metric":"time_at_min_pct","observation_window":"current epoch","source":"system.compute.warehouse_events","source_field":"cluster_count","threshold":25.0,"unit":"%","value":30.0},"EVID-EE9A980D23EE91DC1253C3A7":{"comparator":"","epoch_scope":"CURRENT","evidence_id":"EVID-EE9A980D23EE91DC1253C3A7","interpretation":"Calendar-day coverage available to the forward cost model.","metric":"cost_history_days","observation_window":"current_epoch","source":"system.billing.usage","source_field":"usage_date","threshold":null,"unit":"days","value":254}}</t>
        </is>
      </c>
      <c r="AV26" s="22" t="inlineStr">
        <is>
          <t>[{"comparator":"&gt;= reduction signal","evidence_id":"EVID-AED7559DAC9F0BC32BE18F62","metric":"time_at_min_pct","threshold":25.0},{"comparator":"&lt;= safe","evidence_id":"EVID-AEBBA0A1312EED28C3E7FF6C","metric":"queued_query_pct_30","threshold":0.5},{"comparator":"&lt;= safe","evidence_id":"EVID-21D4F887C9029EA0F56850FB","metric":"p95_wait_capacity_ms_when_queued_30","threshold":5000},{"comparator":"&gt;= blocker","evidence_id":"EVID-7708133043264A423E91FC30","metric":"time_at_max_pct","threshold":20.0}]</t>
        </is>
      </c>
      <c r="AW26" s="22" t="inlineStr">
        <is>
          <t>[{"condition":null,"dependency_type":"KNOB","ref_id":"warehouse_size"},{"condition":null,"dependency_type":"KNOB","ref_id":"max_clusters"}]</t>
        </is>
      </c>
      <c r="AX26" s="22" t="inlineStr">
        <is>
          <t>[]</t>
        </is>
      </c>
      <c r="AY26" s="22" t="inlineStr">
        <is>
          <t>[]</t>
        </is>
      </c>
      <c r="AZ26" s="22" t="inlineStr">
        <is>
          <t>[]</t>
        </is>
      </c>
      <c r="BA26" s="22" t="inlineStr">
        <is>
          <t>[]</t>
        </is>
      </c>
    </row>
    <row r="27" ht="32" customHeight="1">
      <c r="A27" s="14" t="inlineStr">
        <is>
          <t>PKG-CC33BDB742BBCA3EB867C0A2</t>
        </is>
      </c>
      <c r="B27" s="14" t="inlineStr">
        <is>
          <t>CAND-CEA5FCCDA651DD76B15D02CA</t>
        </is>
      </c>
      <c r="C27" s="14" t="inlineStr">
        <is>
          <t>WH-AUTOSTOP-ASSESS-001</t>
        </is>
      </c>
      <c r="D27" s="14" t="inlineStr">
        <is>
          <t>1234567890123456</t>
        </is>
      </c>
      <c r="E27" s="14" t="inlineStr">
        <is>
          <t>wh-synth-005</t>
        </is>
      </c>
      <c r="F27" s="15" t="inlineStr">
        <is>
          <t>Finance Concurrency</t>
        </is>
      </c>
      <c r="G27" s="16" t="inlineStr">
        <is>
          <t>finance-platform@databricks.example</t>
        </is>
      </c>
      <c r="H27" s="14" t="inlineStr">
        <is>
          <t>EPOCH-751A15DDC2A55528A0095BDE</t>
        </is>
      </c>
      <c r="I27" s="18" t="inlineStr">
        <is>
          <t>auto_stop_minutes</t>
        </is>
      </c>
      <c r="J27" s="18" t="inlineStr">
        <is>
          <t>NO_CHANGE</t>
        </is>
      </c>
      <c r="K27" s="15" t="inlineStr">
        <is>
          <t>COST</t>
        </is>
      </c>
      <c r="L27" s="15" t="n">
        <v>30</v>
      </c>
      <c r="M27" s="15" t="n">
        <v>30</v>
      </c>
      <c r="N27" s="15" t="inlineStr">
        <is>
          <t>Current auto-stop is already at or below the deterministic target.</t>
        </is>
      </c>
      <c r="O27" s="21" t="n">
        <v>0.8</v>
      </c>
      <c r="P27" s="18" t="inlineStr">
        <is>
          <t>HIGH</t>
        </is>
      </c>
      <c r="Q27" s="18" t="b">
        <v>1</v>
      </c>
      <c r="R27" s="16" t="inlineStr">
        <is>
          <t>USD</t>
        </is>
      </c>
      <c r="S27" s="18" t="inlineStr">
        <is>
          <t>NO_CHANGE</t>
        </is>
      </c>
      <c r="T27" s="19" t="n">
        <v>36000</v>
      </c>
      <c r="U27" s="19" t="n">
        <v>5380.16</v>
      </c>
      <c r="V27" s="19" t="n">
        <v>41380.16</v>
      </c>
      <c r="W27" s="19" t="n">
        <v>0</v>
      </c>
      <c r="X27" s="19" t="n">
        <v>0</v>
      </c>
      <c r="Y27" s="19" t="n">
        <v>0</v>
      </c>
      <c r="Z27" s="19" t="n">
        <v>0</v>
      </c>
      <c r="AA27" s="19" t="n">
        <v>0</v>
      </c>
      <c r="AB27" s="19" t="n">
        <v>0</v>
      </c>
      <c r="AC27" s="19" t="n">
        <v>0</v>
      </c>
      <c r="AD27" s="19" t="n">
        <v>0</v>
      </c>
      <c r="AE27" s="19" t="n">
        <v>0</v>
      </c>
      <c r="AF27" s="19" t="n">
        <v>41380.16</v>
      </c>
      <c r="AG27" s="19" t="n">
        <v>41380.16</v>
      </c>
      <c r="AH27" s="19" t="n">
        <v>41380.16</v>
      </c>
      <c r="AI27" s="18" t="b">
        <v>0</v>
      </c>
      <c r="AJ27" s="18" t="inlineStr">
        <is>
          <t>NOT_APPLIED</t>
        </is>
      </c>
      <c r="AK27" s="16" t="inlineStr">
        <is>
          <t>—</t>
        </is>
      </c>
      <c r="AL27" s="18" t="inlineStr">
        <is>
          <t>—</t>
        </is>
      </c>
      <c r="AM27" s="19" t="inlineStr">
        <is>
          <t>UNAVAILABLE</t>
        </is>
      </c>
      <c r="AN27" s="19" t="inlineStr">
        <is>
          <t>UNAVAILABLE</t>
        </is>
      </c>
      <c r="AO27" s="19" t="inlineStr">
        <is>
          <t>UNAVAILABLE</t>
        </is>
      </c>
      <c r="AP27" s="19" t="inlineStr">
        <is>
          <t>UNAVAILABLE</t>
        </is>
      </c>
      <c r="AQ27" s="18" t="inlineStr">
        <is>
          <t>—</t>
        </is>
      </c>
      <c r="AR27" s="15" t="inlineStr">
        <is>
          <t>auto_stop_minutes &gt; target 45; idle_gap_count &gt;= evidence minimum 30; cluster_minutes &gt;= evidence minimum 1.0; p95_wait_compute_ms_when_waited_30 &gt;= cold-start blocker 60000; starts_per_active_day_30 &gt;= cold-start blocker 0.5</t>
        </is>
      </c>
      <c r="AS27" s="22" t="inlineStr">
        <is>
          <t>{"coverage":1.0,"epoch_maturity":1.0,"sample":1.0,"signal":0.7,"stability":0.91}</t>
        </is>
      </c>
      <c r="AT27" s="22" t="inlineStr">
        <is>
          <t>["EVID-324212F35A7011A80C6A6BA3","EVID-DD117FC3F483E6BEAABBAD0D","EVID-C95E6B1BC4B38F67DDC1C8A3","EVID-5555686F19810CB742AB7A40","EVID-E16CE8C168D9485757EF1951","EVID-D5F8E470729DAE096060C377","EVID-CC8D27FB8F173BF573F8611E","EVID-18FDAEBFE536A4B00BCC943B","EVID-038E46D416CD216AAD824440","EVID-08768924F23A35F26342A6B5","EVID-0E02597D3213CE7CBA74C86C","EVID-EE9A980D23EE91DC1253C3A7"]</t>
        </is>
      </c>
      <c r="AU27" s="22" t="inlineStr">
        <is>
          <t>{"EVID-038E46D416CD216AAD824440":{"comparator":"","epoch_scope":"CURRENT","evidence_id":"EVID-038E46D416CD216AAD824440","interpretation":"Observed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price","threshold":null,"unit":"USD","value":31680.0},"EVID-08768924F23A35F26342A6B5":{"comparator":"","epoch_scope":"CURRENT","evidence_id":"EVID-08768924F23A35F26342A6B5","interpretation":"No-change forward DBU cost forecast anchored to the current configuration epoch.","metric":"forward_dbu_cost_365d","observation_window":"forward_365d","source":"derived","source_field":"epoch-runrate-v2.7","threshold":null,"unit":"USD","value":36000.0},"EVID-0E02597D3213CE7CBA74C86C":{"comparator":"","epoch_scope":"CURRENT","evidence_id":"EVID-0E02597D3213CE7CBA74C86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5380.16},"EVID-18FDAEBFE536A4B00BCC943B":{"comparator":"","epoch_scope":"CURRENT","evidence_id":"EVID-18FDAEBFE536A4B00BCC943B","interpretation":"Estimated additional off-time at the candidate target.","metric":"estimated_additional_off_minutes","observation_window":"current epoch","source":"system.query.history","source_field":"inter-query gap","threshold":null,"unit":"minutes","value":1200.0},"EVID-324212F35A7011A80C6A6BA3":{"comparator":"&gt; target","epoch_scope":"CURRENT","evidence_id":"EVID-324212F35A7011A80C6A6BA3","interpretation":"Current idle termination setting versus deterministic policy target.","metric":"auto_stop_minutes","observation_window":"current epoch","source":"system.compute.warehouses","source_field":"auto_stop_minutes","threshold":45,"unit":"minutes","value":30},"EVID-5555686F19810CB742AB7A40":{"comparator":"&gt;= evidence minimum","epoch_scope":"CURRENT","evidence_id":"EVID-5555686F19810CB742AB7A40","interpretation":"Observed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epoch","source":"system.compute.warehouse_events","source_field":"cluster_count/event_time","threshold":1.0,"unit":"cluster-minutes","value":30000.0},"EVID-C95E6B1BC4B38F67DDC1C8A3":{"comparator":"&gt;= evidence minimum","epoch_scope":"CURRENT","evidence_id":"EVID-C95E6B1BC4B38F67DDC1C8A3","interpretation":"Non-overlapping inter-query gap sample supporting the auto-stop counterfactual.","metric":"idle_gap_count","observation_window":"current epoch","source":"system.query.history","source_field":"start_time/end_time","threshold":30,"unit":"gaps","value":720},"EVID-CC8D27FB8F173BF573F8611E":{"comparator":"&gt;= cold-start blocker","epoch_scope":"CURRENT","evidence_id":"EVID-CC8D27FB8F173BF573F8611E","interpretation":"Restart frequency guardrail.","metric":"starts_per_active_day_30","observation_window":"last 30 days within current epoch","source":"system.compute.warehouse_events","source_field":"event_type=STARTING","threshold":0.5,"unit":"starts/day","value":0.1333},"EVID-D5F8E470729DAE096060C377":{"comparator":"&gt;= cold-start blocker","epoch_scope":"CURRENT","evidence_id":"EVID-D5F8E470729DAE096060C377","interpretation":"Cold-start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epoch","source":"system.query.history","source_field":"waiting_for_compute_duration_ms","threshold":60000,"unit":"ms","value":3500},"EVID-DD117FC3F483E6BEAABBAD0D":{"comparator":"","epoch_scope":"CURRENT","evidence_id":"EVID-DD117FC3F483E6BEAABBAD0D","interpretation":"Activity density selects the auto-stop target.","metric":"queries_per_active_day_30","observation_window":"last 30 days within current epoch","source":"system.query.history","source_field":"start_time","threshold":null,"unit":"queries/day","value":600.0},"EVID-E16CE8C168D9485757EF1951":{"comparator":"","epoch_scope":"CURRENT","evidence_id":"EVID-E16CE8C168D9485757EF1951","interpretation":"Queries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4},"EVID-EE9A980D23EE91DC1253C3A7":{"comparator":"","epoch_scope":"CURRENT","evidence_id":"EVID-EE9A980D23EE91DC1253C3A7","interpretation":"Calendar-day coverage available to the forward cost model.","metric":"cost_history_days","observation_window":"current_epoch","source":"system.billing.usage","source_field":"usage_date","threshold":null,"unit":"days","value":254}}</t>
        </is>
      </c>
      <c r="AV27" s="22" t="inlineStr">
        <is>
          <t>[{"comparator":"&gt; target","evidence_id":"EVID-324212F35A7011A80C6A6BA3","metric":"auto_stop_minutes","threshold":45},{"comparator":"&gt;= evidence minimum","evidence_id":"EVID-C95E6B1BC4B38F67DDC1C8A3","metric":"idle_gap_count","threshold":30},{"comparator":"&gt;= evidence minimum","evidence_id":"EVID-5555686F19810CB742AB7A40","metric":"cluster_minutes","threshold":1.0},{"comparator":"&gt;= cold-start blocker","evidence_id":"EVID-D5F8E470729DAE096060C377","metric":"p95_wait_compute_ms_when_waited_30","threshold":60000},{"comparator":"&gt;= cold-start blocker","evidence_id":"EVID-CC8D27FB8F173BF573F8611E","metric":"starts_per_active_day_30","threshold":0.5}]</t>
        </is>
      </c>
      <c r="AW27" s="22" t="inlineStr">
        <is>
          <t>[{"condition":null,"dependency_type":"KNOB","ref_id":"min_clusters"}]</t>
        </is>
      </c>
      <c r="AX27" s="22" t="inlineStr">
        <is>
          <t>[]</t>
        </is>
      </c>
      <c r="AY27" s="22" t="inlineStr">
        <is>
          <t>[]</t>
        </is>
      </c>
      <c r="AZ27" s="22" t="inlineStr">
        <is>
          <t>[]</t>
        </is>
      </c>
      <c r="BA27" s="22" t="inlineStr">
        <is>
          <t>[]</t>
        </is>
      </c>
    </row>
    <row r="28" ht="32" customHeight="1">
      <c r="A28" s="14" t="inlineStr">
        <is>
          <t>PKG-CC33BDB742BBCA3EB867C0A2</t>
        </is>
      </c>
      <c r="B28" s="14" t="inlineStr">
        <is>
          <t>CAND-02A4A2C622C961DA8C1E29A5</t>
        </is>
      </c>
      <c r="C28" s="14" t="inlineStr">
        <is>
          <t>WH-SERVERLESS-MIGRATE-001</t>
        </is>
      </c>
      <c r="D28" s="14" t="inlineStr">
        <is>
          <t>1234567890123456</t>
        </is>
      </c>
      <c r="E28" s="14" t="inlineStr">
        <is>
          <t>wh-synth-005</t>
        </is>
      </c>
      <c r="F28" s="15" t="inlineStr">
        <is>
          <t>Finance Concurrency</t>
        </is>
      </c>
      <c r="G28" s="16" t="inlineStr">
        <is>
          <t>finance-platform@databricks.example</t>
        </is>
      </c>
      <c r="H28" s="14" t="inlineStr">
        <is>
          <t>EPOCH-751A15DDC2A55528A0095BDE</t>
        </is>
      </c>
      <c r="I28" s="18" t="inlineStr">
        <is>
          <t>warehouse_type</t>
        </is>
      </c>
      <c r="J28" s="18" t="inlineStr">
        <is>
          <t>TEST_REQUIRED</t>
        </is>
      </c>
      <c r="K28" s="15" t="inlineStr">
        <is>
          <t>MIGRATION, COST_AND_PERFORMANCE, OPERATIONS</t>
        </is>
      </c>
      <c r="L28" s="15" t="inlineStr">
        <is>
          <t>PRO</t>
        </is>
      </c>
      <c r="M28" s="15" t="inlineStr">
        <is>
          <t>SERVERLESS</t>
        </is>
      </c>
      <c r="N28" s="15" t="inlineStr">
        <is>
          <t>Serverless is evaluated as a separate migration experiment with a pre-canary DBU/AWS counterfactual and deterministic compatibility gate.</t>
        </is>
      </c>
      <c r="O28" s="21" t="n">
        <v>0.78</v>
      </c>
      <c r="P28" s="18" t="inlineStr">
        <is>
          <t>MEDIUM</t>
        </is>
      </c>
      <c r="Q28" s="18" t="b">
        <v>1</v>
      </c>
      <c r="R28" s="16" t="inlineStr">
        <is>
          <t>USD</t>
        </is>
      </c>
      <c r="S28" s="18" t="inlineStr">
        <is>
          <t>SAVINGS</t>
        </is>
      </c>
      <c r="T28" s="19" t="n">
        <v>36000</v>
      </c>
      <c r="U28" s="19" t="n">
        <v>5380.16</v>
      </c>
      <c r="V28" s="19" t="n">
        <v>41380.16</v>
      </c>
      <c r="W28" s="19" t="n">
        <v>19905.51</v>
      </c>
      <c r="X28" s="19" t="n">
        <v>23929.13</v>
      </c>
      <c r="Y28" s="19" t="n">
        <v>27952.76</v>
      </c>
      <c r="Z28" s="19" t="n">
        <v>5380.16</v>
      </c>
      <c r="AA28" s="19" t="n">
        <v>5380.16</v>
      </c>
      <c r="AB28" s="19" t="n">
        <v>5380.16</v>
      </c>
      <c r="AC28" s="19" t="n">
        <v>25285.67</v>
      </c>
      <c r="AD28" s="19" t="n">
        <v>29309.29</v>
      </c>
      <c r="AE28" s="19" t="n">
        <v>33332.92</v>
      </c>
      <c r="AF28" s="19" t="n">
        <v>8047.24</v>
      </c>
      <c r="AG28" s="19" t="n">
        <v>12070.87</v>
      </c>
      <c r="AH28" s="19" t="n">
        <v>16094.49</v>
      </c>
      <c r="AI28" s="18" t="b">
        <v>0</v>
      </c>
      <c r="AJ28" s="18" t="inlineStr">
        <is>
          <t>NOT_APPLIED</t>
        </is>
      </c>
      <c r="AK28" s="16" t="inlineStr">
        <is>
          <t>—</t>
        </is>
      </c>
      <c r="AL28" s="18" t="inlineStr">
        <is>
          <t>—</t>
        </is>
      </c>
      <c r="AM28" s="19" t="inlineStr">
        <is>
          <t>UNAVAILABLE</t>
        </is>
      </c>
      <c r="AN28" s="19" t="inlineStr">
        <is>
          <t>UNAVAILABLE</t>
        </is>
      </c>
      <c r="AO28" s="19" t="inlineStr">
        <is>
          <t>UNAVAILABLE</t>
        </is>
      </c>
      <c r="AP28" s="19" t="inlineStr">
        <is>
          <t>UNAVAILABLE</t>
        </is>
      </c>
      <c r="AQ28" s="18" t="inlineStr">
        <is>
          <t>—</t>
        </is>
      </c>
      <c r="AR28" s="15" t="inlineStr">
        <is>
          <t>No numeric threshold</t>
        </is>
      </c>
      <c r="AS28" s="22" t="inlineStr">
        <is>
          <t>{"coverage":1.0,"epoch_maturity":1.0,"sample":1.0,"signal":1.0,"stability":0.91}</t>
        </is>
      </c>
      <c r="AT28" s="22" t="inlineStr">
        <is>
          <t>["EVID-6D9D8B05140A58FCCCC6B21D","EVID-82A3C2CACC14A589F634297C","EVID-713EACCA2F8126A799E1FE36","EVID-02AC31FADD3A46DDE9AC8672","EVID-40A178BD1DF4D54686AD685B","EVID-F09C4FC7C53BF57EE512E078","EVID-79435A3C5E9A4B51CF52CEF1","EVID-C84D5599AED99E6E15B53363","EVID-C0019743301EE0386725FF2D","EVID-8B4057F5428E31CC6A4E717E","EVID-5F06B3FDD7ACBB245E6698BA","EVID-AD3A9EEEC8C5F309C7BFFEAA","EVID-0464732E6A42CA0F844B4087","EVID-038E46D416CD216AAD824440","EVID-08768924F23A35F26342A6B5","EVID-0E02597D3213CE7CBA74C86C","EVID-EE9A980D23EE91DC1253C3A7"]</t>
        </is>
      </c>
      <c r="AU28" s="22" t="inlineStr">
        <is>
          <t>{"EVID-02AC31FADD3A46DDE9AC8672":{"comparator":"","epoch_scope":"CURRENT","evidence_id":"EVID-02AC31FADD3A46DDE9AC8672","interpretation":"Dashboard workload mix context.","metric":"dashboard_queries_30","observation_window":"last 30 days within current epoch","source":"system.query.history","source_field":"query_source.dashboard_id","threshold":null,"unit":"queries","value":13500},"EVID-038E46D416CD216AAD824440":{"comparator":"","epoch_scope":"CURRENT","evidence_id":"EVID-038E46D416CD216AAD824440","interpretation":"Observed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price","threshold":null,"unit":"USD","value":31680.0},"EVID-0464732E6A42CA0F844B4087":{"comparator":"","epoch_scope":"CURRENT","evidence_id":"EVID-0464732E6A42CA0F844B4087","interpretation":"Potential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only)","threshold":null,"unit":"queries","value":0},"EVID-08768924F23A35F26342A6B5":{"comparator":"","epoch_scope":"CURRENT","evidence_id":"EVID-08768924F23A35F26342A6B5","interpretation":"No-change forward DBU cost forecast anchored to the current configuration epoch.","metric":"forward_dbu_cost_365d","observation_window":"forward_365d","source":"derived","source_field":"epoch-runrate-v2.7","threshold":null,"unit":"USD","value":36000.0},"EVID-0E02597D3213CE7CBA74C86C":{"comparator":"","epoch_scope":"CURRENT","evidence_id":"EVID-0E02597D3213CE7CBA74C86C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5380.16},"EVID-40A178BD1DF4D54686AD685B":{"comparator":"","epoch_scope":"CURRENT","evidence_id":"EVID-40A178BD1DF4D54686AD685B","interpretation":"Job workload mix context.","metric":"job_queries_30","observation_window":"last 30 days within current epoch","source":"system.query.history","source_field":"query_source.job_info.job_id","threshold":null,"unit":"queries","value":0},"EVID-5F06B3FDD7ACBB245E6698BA":{"comparator":"","epoch_scope":"CURRENT","evidence_id":"EVID-5F06B3FDD7ACBB245E6698BA","interpretation":"Tableau client workload mix context.","metric":"tableau_queries_30","observation_window":"last 30 days within current epoch","source":"system.query.history","source_field":"client_application","threshold":null,"unit":"queries","value":0},"EVID-6D9D8B05140A58FCCCC6B21D":{"comparator":"","epoch_scope":"CURRENT","evidence_id":"EVID-6D9D8B05140A58FCCCC6B21D","interpretation":"Current warehouse type.","metric":"warehouse_type","observation_window":"current epoch","source":"system.compute.warehouses","source_field":"warehouse_type","threshold":null,"unit":"value","value":"PRO"},"EVID-713EACCA2F8126A799E1FE36":{"comparator":"","epoch_scope":"CURRENT","evidence_id":"EVID-713EACCA2F8126A799E1FE36","interpretation":"Query-tag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epoch","source":"system.query.history","source_field":"query_tags","threshold":null,"unit":"%","value":70.0},"EVID-79435A3C5E9A4B51CF52CEF1":{"comparator":"","epoch_scope":"CURRENT","evidence_id":"EVID-79435A3C5E9A4B51CF52CEF1","interpretation":"Genie workload mix context.","metric":"genie_queries_30","observation_window":"last 30 days within current epoch","source":"system.query.history","source_field":"query_source.genie_space_id","threshold":null,"unit":"queries","value":0},"EVID-82A3C2CACC14A589F634297C":{"comparator":"","epoch_scope":"CURRENT","evidence_id":"EVID-82A3C2CACC14A589F634297C","interpretation":"Observed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days","source":"system.billing.usage","source_field":"product_features.is_serverless","threshold":null,"unit":"%","value":0.0},"EVID-8B4057F5428E31CC6A4E717E":{"comparator":"","epoch_scope":"CURRENT","evidence_id":"EVID-8B4057F5428E31CC6A4E717E","interpretation":"Power BI client workload mix context.","metric":"power_bi_queries_30","observation_window":"last 30 days within current epoch","source":"system.query.history","source_field":"client_application","threshold":null,"unit":"queries","value":4500},"EVID-AD3A9EEEC8C5F309C7BFFEAA":{"comparator":"","epoch_scope":"CURRENT","evidence_id":"EVID-AD3A9EEEC8C5F309C7BFFEAA","interpretation":"Coverage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epoch","source":"system.query.history","source_field":"statement_text","threshold":null,"unit":"%","value":100.0},"EVID-C0019743301EE0386725FF2D":{"comparator":"","epoch_scope":"CURRENT","evidence_id":"EVID-C0019743301EE0386725FF2D","interpretation":"Databricks SQL editor/query workload mix context.","metric":"sql_editor_queries_30","observation_window":"last 30 days within current epoch","source":"system.query.history","source_field":"query_source.sql_query_id","threshold":null,"unit":"queries","value":1440},"EVID-C84D5599AED99E6E15B53363":{"comparator":"","epoch_scope":"CURRENT","evidence_id":"EVID-C84D5599AED99E6E15B53363","interpretation":"Alert workload mix context.","metric":"alert_queries_30","observation_window":"last 30 days within current epoch","source":"system.query.history","source_field":"query_source.alert_id","threshold":null,"unit":"queries","value":0},"EVID-EE9A980D23EE91DC1253C3A7":{"comparator":"","epoch_scope":"CURRENT","evidence_id":"EVID-EE9A980D23EE91DC1253C3A7","interpretation":"Calendar-day coverage available to the forward cost model.","metric":"cost_history_days","observation_window":"current_epoch","source":"system.billing.usage","source_field":"usage_date","threshold":null,"unit":"days","value":254},"EVID-F09C4FC7C53BF57EE512E078":{"comparator":"","epoch_scope":"CURRENT","evidence_id":"EVID-F09C4FC7C53BF57EE512E078","interpretation":"Notebook workload mix context.","metric":"notebook_queries_30","observation_window":"last 30 days within current epoch","source":"system.query.history","source_field":"query_source.notebook_id","threshold":null,"unit":"queries","value":0}}</t>
        </is>
      </c>
      <c r="AV28" s="22" t="inlineStr">
        <is>
          <t>[]</t>
        </is>
      </c>
      <c r="AW28" s="22" t="inlineStr">
        <is>
          <t>[]</t>
        </is>
      </c>
      <c r="AX28" s="22" t="inlineStr">
        <is>
          <t>["warehouse_size","max_clusters","min_clusters","auto_stop_minutes"]</t>
        </is>
      </c>
      <c r="AY28" s="22" t="inlineStr">
        <is>
          <t>["A_B_COST_PERFORMANCE_VALIDATION_REQUIRED"]</t>
        </is>
      </c>
      <c r="AZ28" s="22" t="inlineStr">
        <is>
          <t>[{"execution_state":"READY_FOR_CANARY","scenario_id":"SCN-AE1383D5FC2C30D7B1E8A625","scenario_name":"Plan B — Serverless migration experiment","step":2}]</t>
        </is>
      </c>
      <c r="BA28" s="22" t="inlineStr">
        <is>
          <t>[]</t>
        </is>
      </c>
    </row>
    <row r="29" ht="32" customHeight="1">
      <c r="A29" s="14" t="inlineStr">
        <is>
          <t>PKG-69BA220DC5EC020D84CA55CB</t>
        </is>
      </c>
      <c r="B29" s="14" t="inlineStr">
        <is>
          <t>CAND-8E9FD2A57101E24DC21989E6</t>
        </is>
      </c>
      <c r="C29" s="14" t="inlineStr">
        <is>
          <t>WH-CHANNEL-CURRENT-001</t>
        </is>
      </c>
      <c r="D29" s="14" t="inlineStr">
        <is>
          <t>1234567890123456</t>
        </is>
      </c>
      <c r="E29" s="14" t="inlineStr">
        <is>
          <t>wh-synth-002</t>
        </is>
      </c>
      <c r="F29" s="15" t="inlineStr">
        <is>
          <t>Finance Executive</t>
        </is>
      </c>
      <c r="G29" s="16" t="inlineStr">
        <is>
          <t>finance-bi@databricks.example</t>
        </is>
      </c>
      <c r="H29" s="14" t="inlineStr">
        <is>
          <t>EPOCH-CE32989D02F869C942802E2F</t>
        </is>
      </c>
      <c r="I29" s="18" t="inlineStr">
        <is>
          <t>warehouse_channel</t>
        </is>
      </c>
      <c r="J29" s="18" t="inlineStr">
        <is>
          <t>NO_CHANGE</t>
        </is>
      </c>
      <c r="K29" s="15" t="inlineStr">
        <is>
          <t>STABILITY</t>
        </is>
      </c>
      <c r="L29" s="15" t="inlineStr">
        <is>
          <t>CURRENT</t>
        </is>
      </c>
      <c r="M29" s="15" t="inlineStr">
        <is>
          <t>CURRENT</t>
        </is>
      </c>
      <c r="N29" s="15" t="inlineStr">
        <is>
          <t>No channel change indicated.</t>
        </is>
      </c>
      <c r="O29" s="21" t="n">
        <v>0.8</v>
      </c>
      <c r="P29" s="18" t="inlineStr">
        <is>
          <t>HIGH</t>
        </is>
      </c>
      <c r="Q29" s="18" t="b">
        <v>1</v>
      </c>
      <c r="R29" s="16" t="inlineStr">
        <is>
          <t>USD</t>
        </is>
      </c>
      <c r="S29" s="18" t="inlineStr">
        <is>
          <t>NO_CHANGE</t>
        </is>
      </c>
      <c r="T29" s="19" t="n">
        <v>18000</v>
      </c>
      <c r="U29" s="19" t="n">
        <v>5646.94</v>
      </c>
      <c r="V29" s="19" t="n">
        <v>23646.94</v>
      </c>
      <c r="W29" s="19" t="n">
        <v>0</v>
      </c>
      <c r="X29" s="19" t="n">
        <v>0</v>
      </c>
      <c r="Y29" s="19" t="n">
        <v>0</v>
      </c>
      <c r="Z29" s="19" t="n">
        <v>0</v>
      </c>
      <c r="AA29" s="19" t="n">
        <v>0</v>
      </c>
      <c r="AB29" s="19" t="n">
        <v>0</v>
      </c>
      <c r="AC29" s="19" t="n">
        <v>0</v>
      </c>
      <c r="AD29" s="19" t="n">
        <v>0</v>
      </c>
      <c r="AE29" s="19" t="n">
        <v>0</v>
      </c>
      <c r="AF29" s="19" t="n">
        <v>23646.94</v>
      </c>
      <c r="AG29" s="19" t="n">
        <v>23646.94</v>
      </c>
      <c r="AH29" s="19" t="n">
        <v>23646.94</v>
      </c>
      <c r="AI29" s="18" t="b">
        <v>0</v>
      </c>
      <c r="AJ29" s="18" t="inlineStr">
        <is>
          <t>NOT_APPLIED</t>
        </is>
      </c>
      <c r="AK29" s="16" t="inlineStr">
        <is>
          <t>—</t>
        </is>
      </c>
      <c r="AL29" s="18" t="inlineStr">
        <is>
          <t>—</t>
        </is>
      </c>
      <c r="AM29" s="19" t="inlineStr">
        <is>
          <t>UNAVAILABLE</t>
        </is>
      </c>
      <c r="AN29" s="19" t="inlineStr">
        <is>
          <t>UNAVAILABLE</t>
        </is>
      </c>
      <c r="AO29" s="19" t="inlineStr">
        <is>
          <t>UNAVAILABLE</t>
        </is>
      </c>
      <c r="AP29" s="19" t="inlineStr">
        <is>
          <t>UNAVAILABLE</t>
        </is>
      </c>
      <c r="AQ29" s="18" t="inlineStr">
        <is>
          <t>—</t>
        </is>
      </c>
      <c r="AR29" s="15" t="inlineStr">
        <is>
          <t>No numeric threshold</t>
        </is>
      </c>
      <c r="AS29" s="22" t="inlineStr">
        <is>
          <t>{"coverage":1.0,"epoch_maturity":1.0,"sample":1.0,"signal":0.7,"stability":0.91}</t>
        </is>
      </c>
      <c r="AT29" s="22" t="inlineStr">
        <is>
          <t>["EVID-9DB540AB86F707F22A62FCA1","EVID-736AEF23E7ED9DFBA2AA3EED","EVID-81523112C9E873756ADB144D","EVID-D75BC7CEF9C5E360F50654AF","EVID-A75501B0489D683DBC75D3A9"]</t>
        </is>
      </c>
      <c r="AU29" s="22" t="inlineStr">
        <is>
          <t>{"EVID-736AEF23E7ED9DFBA2AA3EED":{"comparator":"","epoch_scope":"CURRENT","evidence_id":"EVID-736AEF23E7ED9DFBA2AA3EED","interpretation":"Observed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price","threshold":null,"unit":"USD","value":15840.0},"EVID-81523112C9E873756ADB144D":{"comparator":"","epoch_scope":"CURRENT","evidence_id":"EVID-81523112C9E873756ADB144D","interpretation":"No-change forward DBU cost forecast anchored to the current configuration epoch.","metric":"forward_dbu_cost_365d","observation_window":"forward_365d","source":"derived","source_field":"epoch-runrate-v2.7","threshold":null,"unit":"USD","value":18000.0},"EVID-9DB540AB86F707F22A62FCA1":{"comparator":"","epoch_scope":"CURRENT","evidence_id":"EVID-9DB540AB86F707F22A62FCA1","interpretation":"Current release channel from the current configuration epoch.","metric":"warehouse_channel","observation_window":"current epoch","source":"system.compute.warehouses","source_field":"warehouse_channel","threshold":null,"unit":"value","value":"CURRENT"},"EVID-A75501B0489D683DBC75D3A9":{"comparator":"","epoch_scope":"CURRENT","evidence_id":"EVID-A75501B0489D683DBC75D3A9","interpretation":"Calendar-day coverage available to the forward cost model.","metric":"cost_history_days","observation_window":"current_epoch","source":"system.billing.usage","source_field":"usage_date","threshold":null,"unit":"days","value":242},"EVID-D75BC7CEF9C5E360F50654AF":{"comparator":"","epoch_scope":"CURRENT","evidence_id":"EVID-D75BC7CEF9C5E360F50654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unavailable.","metric":"forward_aws_cost_365d","observation_window":"forward_365d","source":"derived","source_field":"aws_current_epoch_cost_model","threshold":null,"unit":"USD","value":5646.94}}</t>
        </is>
      </c>
      <c r="AV29" s="22" t="inlineStr">
        <is>
          <t>[]</t>
        </is>
      </c>
      <c r="AW29" s="22" t="inlineStr">
        <is>
          <t>[]</t>
        </is>
      </c>
      <c r="AX29" s="22" t="inlineStr">
        <is>
          <t>[]</t>
        </is>
      </c>
      <c r="AY29" s="22" t="inlineStr">
        <is>
          <t>[]</t>
        </is>
      </c>
      <c r="AZ29" s="22" t="inlineStr">
        <is>
          <t>[]</t>
        </is>
      </c>
      <c r="BA29" s="22" t="inlineStr">
        <is>
          <t>[]</t>
        </is>
      </c>
    </row>
    <row r="30" ht="32" customHeight="1">
      <c r="A30" s="14" t="inlineStr">
        <is>
          <t>PKG-69BA220DC5EC020D84CA55CB</t>
        </is>
      </c>
      <c r="B30" s="14" t="inlineStr">
        <is>
          <t>CAND-54F63D00E2EFC9427B7F8293</t>
        </is>
      </c>
      <c r="C30" s="14" t="inlineStr">
        <is>
          <t>WH-SIZE-DOWNSIZE-001</t>
        </is>
      </c>
      <c r="D30" s="14" t="inlineStr">
        <is>
          <t>1234567890123456</t>
        </is>
      </c>
      <c r="E30" s="14" t="inlineStr">
        <is>
          <t>wh-synth-002</t>
        </is>
      </c>
      <c r="F30" s="15" t="inlineStr">
        <is>
          <t>Finance Executive</t>
        </is>
      </c>
      <c r="G30" s="16" t="inlineStr">
        <is>
          <t>finance-bi@databricks.example</t>
        </is>
      </c>
      <c r="H30" s="14" t="inlineStr">
        <is>
          <t>EPOCH-CE32989D02F869C942802E2F</t>
        </is>
      </c>
      <c r="I30" s="18" t="inlineStr">
        <is>
          <t>warehouse_size</t>
        </is>
      </c>
      <c r="J30" s="18" t="inlineStr">
        <is>
          <t>TEST_REQUIRED</t>
        </is>
      </c>
      <c r="K30" s="15" t="inlineStr">
        <is>
          <t>COST</t>
        </is>
      </c>
      <c r="L30" s="15" t="inlineStr">
        <is>
          <t>MEDIUM</t>
        </is>
      </c>
      <c r="M30" s="15" t="inlineStr">
        <is>
          <t>SMALL</t>
        </is>
      </c>
      <c r="N30" s="15" t="inlineStr">
        <is>
          <t>Low spill, queueing, and latency make one-size down a controlled canary candidate; absence of pressure is not proof of SLA safety.</t>
        </is>
      </c>
      <c r="O30" s="21" t="n">
        <v>0.78</v>
      </c>
      <c r="P30" s="18" t="inlineStr">
        <is>
          <t>MEDIUM</t>
        </is>
      </c>
      <c r="Q30" s="18" t="b">
        <v>1</v>
      </c>
      <c r="R30" s="16" t="inlineStr">
        <is>
          <t>USD</t>
        </is>
      </c>
      <c r="S30" s="18" t="inlineStr">
        <is>
          <t>SAVINGS</t>
        </is>
      </c>
      <c r="T30" s="19" t="n">
        <v>18000</v>
      </c>
      <c r="U30" s="19" t="n">
        <v>5646.94</v>
      </c>
      <c r="V30" s="19" t="n">
        <v>23646.94</v>
      </c>
      <c r="W30" s="19" t="n">
        <v>-600</v>
      </c>
      <c r="X30" s="19" t="n">
        <v>2400</v>
      </c>
      <c r="Y30" s="19" t="n">
        <v>4800</v>
      </c>
      <c r="Z30" s="19" t="n">
        <v>1270.56</v>
      </c>
      <c r="AA30" s="19" t="n">
        <v>1976.43</v>
      </c>
      <c r="AB30" s="19" t="n">
        <v>2541.12</v>
      </c>
      <c r="AC30" s="19" t="n">
        <v>670.5599999999999</v>
      </c>
      <c r="AD30" s="19" t="n">
        <v>4376.43</v>
      </c>
      <c r="AE30" s="19" t="n">
        <v>7341.12</v>
      </c>
      <c r="AF30" s="19" t="n">
        <v>16305.82</v>
      </c>
      <c r="AG30" s="19" t="n">
        <v>19270.51</v>
      </c>
      <c r="AH30" s="19" t="n">
        <v>22976.38</v>
      </c>
      <c r="AI30" s="18" t="b">
        <v>0</v>
      </c>
      <c r="AJ30" s="18" t="inlineStr">
        <is>
          <t>NOT_APPLIED</t>
        </is>
      </c>
      <c r="AK30" s="16" t="inlineStr">
        <is>
          <t>—</t>
        </is>
      </c>
      <c r="AL30" s="18" t="inlineStr">
        <is>
          <t>—</t>
        </is>
      </c>
      <c r="AM30" s="19" t="inlineStr">
        <is>
          <t>UNAVAILABLE</t>
        </is>
      </c>
      <c r="AN30" s="19" t="inlineStr">
        <is>
          <t>UNAVAILABLE</t>
        </is>
      </c>
      <c r="AO30" s="19" t="inlineStr">
        <is>
          <t>UNAVAILABLE</t>
        </is>
      </c>
      <c r="AP30" s="19" t="inlineStr">
        <is>
          <t>UNAVAILABLE</t>
        </is>
      </c>
      <c r="AQ30" s="18" t="inlineStr">
        <is>
          <t>—</t>
        </is>
      </c>
      <c r="AR30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30" s="22" t="inlineStr">
        <is>
          <t>{"coverage":1.0,"epoch_maturity":1.0,"sample":1.0,"signal":1.0,"stability":0.91}</t>
        </is>
      </c>
      <c r="AT30" s="22" t="inlineStr">
        <is>
          <t>["EVID-4AD9BFC520F810E375C9F267","EVID-CE93052A4088BD04DDDFC0B4","EVID-565A318F59FE2D81C60059DB","EVID-8337939F0AFF21D2C6FE2977","EVID-91B0650858728DBD33B126CD","EVID-5E83882E9CB63D27C16F478D","EVID-FAA816B37A09EEEF7686D7A7","EVID-7A91A2021AA57C5F33FA42C6","EVID-736AEF23E7ED9DFBA2AA3EED","EVID-81523112C9E873756ADB144D","EVID-D75BC7CEF9C5E360F50654AF","EVID-A75501B0489D683DBC75D3A9"]</t>
        </is>
      </c>
      <c r="AU30" s="22" t="inlineStr">
        <is>
          <t>{"EVID-4AD9BFC520F810E375C9F267":{"comparator":"","epoch_scope":"CURRENT","evidence_id":"EVID-4AD9BFC520F810E375C9F267","interpretation":"Current warehouse size.","metric":"warehouse_size","observation_window":"current epoch","source":"system.compute.warehouses","source_field":"warehouse_size","threshold":null,"unit":"value","value":"MEDIUM"},"EVID-565A318F59FE2D81C60059DB":{"comparator":"&gt;= evidence minimum for upsize","epoch_scope":"CURRENT","evidence_id":"EVID-565A318F59FE2D81C60059DB","interpretation":"Queries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epoch","source":"system.query.history","source_field":"spilled_local_bytes","threshold":20,"unit":"queries","value":0},"EVID-5E83882E9CB63D27C16F478D":{"comparator":"&lt;= downsize-safe","epoch_scope":"CURRENT","evidence_id":"EVID-5E83882E9CB63D27C16F478D","interpretation":"Tail execution latency guardrail.","metric":"p95_execution_ms_30","observation_window":"last 30 days within current epoch","source":"system.query.history","source_field":"execution_duration_ms","threshold":5000,"unit":"ms","value":2200},"EVID-736AEF23E7ED9DFBA2AA3EED":{"comparator":"","epoch_scope":"CURRENT","evidence_id":"EVID-736AEF23E7ED9DFBA2AA3EED","interpretation":"Observed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price","threshold":null,"unit":"USD","value":15840.0},"EVID-7A91A2021AA57C5F33FA42C6":{"comparator":"","epoch_scope":"CURRENT","evidence_id":"EVID-7A91A2021AA57C5F33FA42C6","interpretation":"I/O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epoch","source":"system.query.history","source_field":"read_io_cache_percent","threshold":null,"unit":"%","value":35.0},"EVID-81523112C9E873756ADB144D":{"comparator":"","epoch_scope":"CURRENT","evidence_id":"EVID-81523112C9E873756ADB144D","interpretation":"No-change forward DBU cost forecast anchored to the current configuration epoch.","metric":"forward_dbu_cost_365d","observation_window":"forward_365d","source":"derived","source_field":"epoch-runrate-v2.7","threshold":null,"unit":"USD","value":18000.0},"EVID-8337939F0AFF21D2C6FE2977":{"comparator":"&gt;= upsize signal","epoch_scope":"CURRENT","evidence_id":"EVID-8337939F0AFF21D2C6FE2977","interpretation":"Severity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epoch","source":"system.query.history","source_field":"spilled_local_bytes","threshold":1073741824,"unit":"bytes","value":0},"EVID-91B0650858728DBD33B126CD":{"comparator":"&lt;= downsize-safe","epoch_scope":"CURRENT","evidence_id":"EVID-91B0650858728DBD33B126CD","interpretation":"Concurrency pressure during the decision window.","metric":"queued_query_pct_30","observation_window":"last 30 days within current epoch","source":"system.query.history","source_field":"waiting_at_capacity_duration_ms","threshold":0.5,"unit":"%","value":0.2},"EVID-A75501B0489D683DBC75D3A9":{"comparator":"","epoch_scope":"CURRENT","evidence_id":"EVID-A75501B0489D683DBC75D3A9","interpretation":"Calendar-day coverage available to the forward cost model.","metric":"cost_history_days","observation_window":"current_epoch","source":"system.billing.usage","source_field":"usage_date","threshold":null,"unit":"days","value":242},"EVID-CE93052A4088BD04DDDFC0B4":{"comparator":"&gt;= upsize signal","epoch_scope":"CURRENT","evidence_id":"EVID-CE93052A4088BD04DDDFC0B4","interpretation":"Frequency of queries spilling to local storage.","metric":"spill_query_pct_30","observation_window":"last 30 days within current epoch","source":"system.query.history","source_field":"spilled_local_bytes","threshold":2.0,"unit":"%","value":0.0},"EVID-D75BC7CEF9C5E360F50654AF":{"comparator":"","epoch_scope":"CURRENT","evidence_id":"EVID-D75BC7CEF9C5E360F50654AF","interpretation":"Forward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unavailable.","metric":"forward_aws_cost_365d","observation_window":"forward_365d","source":"derived","source_field":"aws_current_epoch_cost_model","threshold":null,"unit":"USD","value":5646.94},"EVID-FAA816B37A09EEEF7686D7A7":{"comparator":"&lt;= downsize-safe","epoch_scope":"CURRENT","evidence_id":"EVID-FAA816B37A09EEEF7686D7A7","interpretation":"Extreme tail execution latency guardrail.","metric":"p99_execution_ms_30","observation_window":"last 30 days within current epoch","source":"system.query.history","source_field":"execution_duration_ms","threshold":30000,"unit":"ms","value":7000}}</t>
        </is>
      </c>
      <c r="AV30" s="22" t="inlineStr">
        <is>
          <t>[{"comparator":"&gt;= upsize signal","evidence_id":"EVID-CE93052A4088BD04DDDFC0B4","metric":"spill_query_pct_30","threshold":2.0},{"comparator":"&gt;= evidence minimum for upsize","evidence_id":"EVID-565A318F59FE2D81C60059DB","metric":"spill_queries_30","threshold":20},{"comparator":"&gt;= upsize signal","evidence_id":"EVID-8337939F0AFF21D2C6FE2977","metric":"p95_spill_bytes_when_spilled_30","threshold":1073741824},{"comparator":"&lt;= downsize-safe","evidence_id":"EVID-91B0650858728DBD33B126CD","metric":"queued_query_pct_30","threshold":0.5},{"comparator":"&lt;= downsize-safe","evidence_id":"EVID-5E83882E9CB63D27C16F478D","metric":"p95_execution_ms_30","threshold":5000},{"comparator":"&lt;= downsize-safe","evidence_id":"EVID-FAA816B37A09EEEF7686D7A7","metric":"p99_execution_ms_30","threshold":30000}]</t>
        </is>
      </c>
      <c r="AW30" s="22" t="inlineStr">
        <is>
          <t>[{"condition":null,"dependency_type":"KNOB","ref_id":"warehouse_channel"}]</t>
        </is>
      </c>
      <c r="AX30" s="22" t="inlineStr">
        <is>
          <t>["max_clusters","min_clusters","auto_stop_minutes"]</t>
        </is>
      </c>
      <c r="AY30" s="22" t="inlineStr">
        <is>
          <t>["A_B_PERFORMANCE_VALIDATION_REQUIRED"]</t>
        </is>
      </c>
      <c r="AZ30" s="22" t="inlineStr">
        <is>
          <t>[{"execution_state":"READY_FOR_CANARY","scenario_id":"SCN-1B656E36C1F436B2D31FEE71","scenario_name":"Plan A — Optimize current warehouse type","step":1}]</t>
        </is>
      </c>
      <c r="BA30" s="22" t="inlineStr">
        <is>
          <t>[]</t>
        </is>
      </c>
    </row>
    <row r="31" ht="32" customHeight="1">
      <c r="A31" s="14" t="inlineStr">
        <is>
          <t>PKG-69BA220DC5EC020D84CA55CB</t>
        </is>
      </c>
      <c r="B31" s="14" t="inlineStr">
        <is>
          <t>CAND-E0276ED21AF1CA6ABDA3685B</t>
        </is>
      </c>
      <c r="C31" s="14" t="inlineStr">
        <is>
          <t>WH-MAX-CLUSTER-REDUCE-001</t>
        </is>
      </c>
      <c r="D31" s="14" t="inlineStr">
        <is>
          <t>1234567890123456</t>
        </is>
      </c>
      <c r="E31" s="14" t="inlineStr">
        <is>
          <t>wh-synth-002</t>
        </is>
      </c>
      <c r="F31" s="15" t="inlineStr">
        <is>
          <t>Finance Executive</t>
        </is>
      </c>
      <c r="G31" s="16" t="inlineStr">
        <is>
          <t>finance-bi@databricks.example</t>
        </is>
      </c>
      <c r="H31" s="14" t="inlineStr">
        <is>
          <t>EPOCH-CE32989D02F869C942802E2F</t>
        </is>
      </c>
      <c r="I31" s="18" t="inlineStr">
        <is>
          <t>max_clusters</t>
        </is>
      </c>
      <c r="J31" s="18" t="inlineStr">
        <is>
          <t>ACTIONABLE</t>
        </is>
      </c>
      <c r="K31" s="15" t="inlineStr">
        <is>
          <t>COST_GUARDRAIL</t>
        </is>
      </c>
      <c r="L31" s="15" t="n">
        <v>4</v>
      </c>
      <c r="M31" s="15" t="n">
        <v>3</v>
      </c>
      <c r="N31" s="15" t="inlineStr">
        <is>
          <t>The configured ceiling has not been used and queue pressure is low; tighten the guardrail without claiming direct savings.</t>
        </is>
      </c>
      <c r="O31" s="21" t="n">
        <v>0.93</v>
      </c>
      <c r="P31" s="18" t="inlineStr">
        <is>
          <t>HIGH</t>
        </is>
      </c>
      <c r="Q31" s="18" t="b">
        <v>1</v>
      </c>
      <c r="R31" s="16" t="inlineStr">
        <is>
          <t>USD</t>
        </is>
      </c>
      <c r="S31" s="18" t="inlineStr">
        <is>
          <t>NO_CHANGE</t>
        </is>
      </c>
      <c r="T31" s="19" t="n">
        <v>18000</v>
      </c>
      <c r="U31" s="19" t="n">
        <v>5646.94</v>
      </c>
      <c r="V31" s="19" t="n">
        <v>23646.94</v>
      </c>
      <c r="W31" s="19" t="n">
        <v>0</v>
      </c>
      <c r="X31" s="19" t="n">
        <v>0</v>
      </c>
      <c r="Y31" s="19" t="n">
        <v>0</v>
      </c>
      <c r="Z31" s="19" t="n">
        <v>0</v>
      </c>
      <c r="AA31" s="19" t="n">
        <v>0</v>
      </c>
      <c r="AB31" s="19" t="n">
        <v>0</v>
      </c>
      <c r="AC31" s="19" t="n">
        <v>0</v>
      </c>
      <c r="AD31" s="19" t="n">
        <v>0</v>
      </c>
      <c r="AE31" s="19" t="n">
        <v>0</v>
      </c>
      <c r="AF31" s="19" t="n">
        <v>23646.94</v>
      </c>
      <c r="AG31" s="19" t="n">
        <v>23646.94</v>
      </c>
      <c r="AH31" s="19" t="n">
        <v>23646.94</v>
      </c>
      <c r="AI31" s="18" t="b">
        <v>0</v>
      </c>
      <c r="AJ31" s="18" t="inlineStr">
        <is>
          <t>NOT_APPLIED</t>
        </is>
      </c>
      <c r="AK31" s="16" t="inlineStr">
        <is>
          <t>—</t>
        </is>
      </c>
      <c r="AL31" s="18" t="inlineStr">
        <is>
          <t>—</t>
        </is>
      </c>
      <c r="AM31" s="19" t="inlineStr">
        <is>
          <t>UNAVAILABLE</t>
        </is>
      </c>
      <c r="AN31" s="19" t="inlineStr">
        <is>
          <t>UNAVAILABLE</t>
        </is>
      </c>
      <c r="AO31" s="19" t="inlineStr">
        <is>
          <t>UNAVAILABLE</t>
        </is>
      </c>
      <c r="AP31" s="19" t="inlineStr">
        <is>
          <t>UNAVAILABLE</t>
        </is>
      </c>
      <c r="AQ31" s="18" t="inlineStr">
        <is>
          <t>—</t>
        </is>
      </c>
      <c r="AR31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31" s="22" t="inlineStr">
        <is>
          <t>{"coverage":1.0,"epoch_maturity":1.0,"sample":1.0,"signal":1.0,"stability":0.91}</t>
        </is>
      </c>
      <c r="AT31" s="22" t="inlineStr">
        <is>
          <t>["EVID-9B7C8E52FAACFD57E925E970","EVID-A7F458AC52E3BD6A823E5DB5","EVID-AA78D7495831C5BF3781E5B9","EVID-F1FF5E3A4AF36A7D16C2F773","EVID-D5EF658C7F2298FAC4A62844","EVID-8C8337FFD7A78BAC7F921D11","EVID-736AEF23E7ED9DFBA2AA3EED","EVID-81523112C9E873756ADB144D","EVID-D75BC7CEF9C5E360F50654AF","EVID-A75501B0489D683DBC75D3A9"]</t>
        </is>
      </c>
      <c r="AU31" s="22" t="inlineStr">
        <is>
          <t>{"EVID-736AEF23E7ED9DFBA2AA3EED":{"comparator":"","epoch_scope":"CURRENT","evidence_id":"EVID-736AEF23E7ED9DFBA2AA3EED","interpretation":"Observed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price","threshold":null,"unit":"USD","value":15840.0},"EVID-81523112C9E873756ADB144D":{"comparator":"","epoch_scope":"CURRENT","evidence_id":"EVID-81523112C9E873756ADB144D","interpretation":"No-change forward DBU cost forecast anchored to the current configuration epoch.","metric":"forward_dbu_cost_365d","observation_window":"forward_365d","source":"derived","source_field":"epoch-runrate-v2.7","threshold":null,"unit":"USD","value":18000.0},"EVID-8C8337FFD7A78BAC7F921D11":{"comparator":"&gt;= increase signal","epoch_scope":"CURRENT","evidence_id":"EVID-8C8337FFD7A78BAC7F921D11","interpretation":"Severity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epoch","source":"system.query.history","source_field":"waiting_at_capacity_duration_ms","threshold":30000,"unit":"ms","value":1000},"EVID-9B7C8E52FAACFD57E925E970":{"comparator":"","epoch_scope":"CURRENT","evidence_id":"EVID-9B7C8E52FAACFD57E925E970","interpretation":"Configured concurrency ceiling.","metric":"max_clusters","observation_window":"current epoch","source":"system.compute.warehouses","source_field":"max_clusters","threshold":null,"unit":"value","value":4},"EVID-A75501B0489D683DBC75D3A9":{"comparator":"","epoch_scope":"CURRENT","evidence_id":"EVID-A75501B0489D683DBC75D3A9","interpretation":"Calendar-day coverage available to the forward cost model.","metric":"cost_history_days","observation_window":"current_epoch","source":"system.billing.usage","source_field":"usage_date","threshold":null,"unit":"days","value":242},"EVID-A7F458AC52E3BD6A823E5DB5":{"comparator":"","epoch_scope":"CURRENT","evidence_id":"EVID-A7F458AC52E3BD6A823E5DB5","interpretation":"Highest observed scale level.","metric":"max_observed_clusters","observation_window":"current epoch","source":"system.compute.warehouse_events","source_field":"cluster_count","threshold":null,"unit":"clusters","value":2},"EVID-AA78D7495831C5BF3781E5B9":{"comparator":"&lt;= reduce-safe","epoch_scope":"CURRENT","evidence_id":"EVID-AA78D7495831C5BF3781E5B9","interpretation":"Fraction of running time at configured maximum.","metric":"time_at_max_pct","observation_window":"current epoch","source":"system.compute.warehouse_events","source_field":"cluster_count","threshold":1.0,"unit":"%","value":1.0},"EVID-D5EF658C7F2298FAC4A62844":{"comparator":"&gt;= evidence minimum for increase","epoch_scope":"CURRENT","evidence_id":"EVID-D5EF658C7F2298FAC4A62844","interpretation":"Queries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epoch","source":"system.query.history","source_field":"waiting_at_capacity_duration_ms","threshold":20,"unit":"queries","value":18},"EVID-D75BC7CEF9C5E360F50654AF":{"comparator":"","epoch_scope":"CURRENT","evidence_id":"EVID-D75BC7CEF9C5E360F50654AF","interpretation":"Forward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unavailable.","metric":"forward_aws_cost_365d","observation_window":"forward_365d","source":"derived","source_field":"aws_current_epoch_cost_model","threshold":null,"unit":"USD","value":5646.94},"EVID-F1FF5E3A4AF36A7D16C2F773":{"comparator":"&gt;= increase signal","epoch_scope":"CURRENT","evidence_id":"EVID-F1FF5E3A4AF36A7D16C2F773","interpretation":"Frequency of capacity queueing.","metric":"queued_query_pct_30","observation_window":"last 30 days within current epoch","source":"system.query.history","source_field":"waiting_at_capacity_duration_ms","threshold":5.0,"unit":"%","value":0.2}}</t>
        </is>
      </c>
      <c r="AV31" s="22" t="inlineStr">
        <is>
          <t>[{"comparator":"&lt;= reduce-safe","evidence_id":"EVID-AA78D7495831C5BF3781E5B9","metric":"time_at_max_pct","threshold":1.0},{"comparator":"&gt;= increase signal","evidence_id":"EVID-F1FF5E3A4AF36A7D16C2F773","metric":"queued_query_pct_30","threshold":5.0},{"comparator":"&gt;= evidence minimum for increase","evidence_id":"EVID-D5EF658C7F2298FAC4A62844","metric":"queued_queries_30","threshold":20},{"comparator":"&gt;= increase signal","evidence_id":"EVID-8C8337FFD7A78BAC7F921D11","metric":"p95_wait_capacity_ms_when_queued_30","threshold":30000}]</t>
        </is>
      </c>
      <c r="AW31" s="22" t="inlineStr">
        <is>
          <t>[{"condition":null,"dependency_type":"KNOB","ref_id":"warehouse_size"}]</t>
        </is>
      </c>
      <c r="AX31" s="22" t="inlineStr">
        <is>
          <t>["min_clusters"]</t>
        </is>
      </c>
      <c r="AY31" s="22" t="inlineStr">
        <is>
          <t>[]</t>
        </is>
      </c>
      <c r="AZ31" s="22" t="inlineStr">
        <is>
          <t>[{"execution_state":"PENDING_REEVALUATION","scenario_id":"SCN-1B656E36C1F436B2D31FEE71","scenario_name":"Plan A — Optimize current warehouse type","step":2}]</t>
        </is>
      </c>
      <c r="BA31" s="22" t="inlineStr">
        <is>
          <t>[]</t>
        </is>
      </c>
    </row>
    <row r="32" ht="32" customHeight="1">
      <c r="A32" s="14" t="inlineStr">
        <is>
          <t>PKG-69BA220DC5EC020D84CA55CB</t>
        </is>
      </c>
      <c r="B32" s="14" t="inlineStr">
        <is>
          <t>CAND-C84C3FCC5EB73EA428D9DCED</t>
        </is>
      </c>
      <c r="C32" s="14" t="inlineStr">
        <is>
          <t>WH-MIN-CLUSTER-ASSESS-001</t>
        </is>
      </c>
      <c r="D32" s="14" t="inlineStr">
        <is>
          <t>1234567890123456</t>
        </is>
      </c>
      <c r="E32" s="14" t="inlineStr">
        <is>
          <t>wh-synth-002</t>
        </is>
      </c>
      <c r="F32" s="15" t="inlineStr">
        <is>
          <t>Finance Executive</t>
        </is>
      </c>
      <c r="G32" s="16" t="inlineStr">
        <is>
          <t>finance-bi@databricks.example</t>
        </is>
      </c>
      <c r="H32" s="14" t="inlineStr">
        <is>
          <t>EPOCH-CE32989D02F869C942802E2F</t>
        </is>
      </c>
      <c r="I32" s="18" t="inlineStr">
        <is>
          <t>min_clusters</t>
        </is>
      </c>
      <c r="J32" s="18" t="inlineStr">
        <is>
          <t>NO_CHANGE</t>
        </is>
      </c>
      <c r="K32" s="15" t="inlineStr">
        <is>
          <t>COST</t>
        </is>
      </c>
      <c r="L32" s="15" t="n">
        <v>1</v>
      </c>
      <c r="M32" s="15" t="n">
        <v>1</v>
      </c>
      <c r="N32" s="15" t="inlineStr">
        <is>
          <t>Minimum is already 1.</t>
        </is>
      </c>
      <c r="O32" s="21" t="n">
        <v>0.8</v>
      </c>
      <c r="P32" s="18" t="inlineStr">
        <is>
          <t>HIGH</t>
        </is>
      </c>
      <c r="Q32" s="18" t="b">
        <v>1</v>
      </c>
      <c r="R32" s="16" t="inlineStr">
        <is>
          <t>USD</t>
        </is>
      </c>
      <c r="S32" s="18" t="inlineStr">
        <is>
          <t>NO_CHANGE</t>
        </is>
      </c>
      <c r="T32" s="19" t="n">
        <v>18000</v>
      </c>
      <c r="U32" s="19" t="n">
        <v>5646.94</v>
      </c>
      <c r="V32" s="19" t="n">
        <v>23646.94</v>
      </c>
      <c r="W32" s="19" t="n">
        <v>0</v>
      </c>
      <c r="X32" s="19" t="n">
        <v>0</v>
      </c>
      <c r="Y32" s="19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  <c r="AD32" s="19" t="n">
        <v>0</v>
      </c>
      <c r="AE32" s="19" t="n">
        <v>0</v>
      </c>
      <c r="AF32" s="19" t="n">
        <v>23646.94</v>
      </c>
      <c r="AG32" s="19" t="n">
        <v>23646.94</v>
      </c>
      <c r="AH32" s="19" t="n">
        <v>23646.94</v>
      </c>
      <c r="AI32" s="18" t="b">
        <v>0</v>
      </c>
      <c r="AJ32" s="18" t="inlineStr">
        <is>
          <t>NOT_APPLIED</t>
        </is>
      </c>
      <c r="AK32" s="16" t="inlineStr">
        <is>
          <t>—</t>
        </is>
      </c>
      <c r="AL32" s="18" t="inlineStr">
        <is>
          <t>—</t>
        </is>
      </c>
      <c r="AM32" s="19" t="inlineStr">
        <is>
          <t>UNAVAILABLE</t>
        </is>
      </c>
      <c r="AN32" s="19" t="inlineStr">
        <is>
          <t>UNAVAILABLE</t>
        </is>
      </c>
      <c r="AO32" s="19" t="inlineStr">
        <is>
          <t>UNAVAILABLE</t>
        </is>
      </c>
      <c r="AP32" s="19" t="inlineStr">
        <is>
          <t>UNAVAILABLE</t>
        </is>
      </c>
      <c r="AQ32" s="18" t="inlineStr">
        <is>
          <t>—</t>
        </is>
      </c>
      <c r="AR32" s="15" t="inlineStr">
        <is>
          <t>time_at_min_pct &gt;= reduction signal 25.0; queued_query_pct_30 &lt;= safe 0.5; p95_wait_capacity_ms_when_queued_30 &lt;= safe 5000; time_at_max_pct &gt;= blocker 20.0</t>
        </is>
      </c>
      <c r="AS32" s="22" t="inlineStr">
        <is>
          <t>{"coverage":1.0,"epoch_maturity":1.0,"sample":1.0,"signal":0.7,"stability":0.91}</t>
        </is>
      </c>
      <c r="AT32" s="22" t="inlineStr">
        <is>
          <t>["EVID-6B9164B56B380B7F848687D4","EVID-E5A742070F6622EF00822E7C","EVID-BCFB1FB057779155A6A6149B","EVID-712DA15CD33F4E642FC88977","EVID-0820CEB54C0C9FB6B9F22852","EVID-736AEF23E7ED9DFBA2AA3EED","EVID-81523112C9E873756ADB144D","EVID-D75BC7CEF9C5E360F50654AF","EVID-A75501B0489D683DBC75D3A9"]</t>
        </is>
      </c>
      <c r="AU32" s="22" t="inlineStr">
        <is>
          <t>{"EVID-0820CEB54C0C9FB6B9F22852":{"comparator":"&gt;= blocker","epoch_scope":"CURRENT","evidence_id":"EVID-0820CEB54C0C9FB6B9F22852","interpretation":"Sustained scale pressure blocks minimum reduction.","metric":"time_at_max_pct","observation_window":"current epoch","source":"system.compute.warehouse_events","source_field":"cluster_count","threshold":20.0,"unit":"%","value":1.0},"EVID-6B9164B56B380B7F848687D4":{"comparator":"","epoch_scope":"CURRENT","evidence_id":"EVID-6B9164B56B380B7F848687D4","interpretation":"Configured minimum scale.","metric":"min_clusters","observation_window":"current epoch","source":"system.compute.warehouses","source_field":"min_clusters","threshold":null,"unit":"value","value":1},"EVID-712DA15CD33F4E642FC88977":{"comparator":"&lt;= safe","epoch_scope":"CURRENT","evidence_id":"EVID-712DA15CD33F4E642FC88977","interpretation":"Queue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epoch","source":"system.query.history","source_field":"waiting_at_capacity_duration_ms","threshold":5000,"unit":"ms","value":1000},"EVID-736AEF23E7ED9DFBA2AA3EED":{"comparator":"","epoch_scope":"CURRENT","evidence_id":"EVID-736AEF23E7ED9DFBA2AA3EED","interpretation":"Observed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price","threshold":null,"unit":"USD","value":15840.0},"EVID-81523112C9E873756ADB144D":{"comparator":"","epoch_scope":"CURRENT","evidence_id":"EVID-81523112C9E873756ADB144D","interpretation":"No-change forward DBU cost forecast anchored to the current configuration epoch.","metric":"forward_dbu_cost_365d","observation_window":"forward_365d","source":"derived","source_field":"epoch-runrate-v2.7","threshold":null,"unit":"USD","value":18000.0},"EVID-A75501B0489D683DBC75D3A9":{"comparator":"","epoch_scope":"CURRENT","evidence_id":"EVID-A75501B0489D683DBC75D3A9","interpretation":"Calendar-day coverage available to the forward cost model.","metric":"cost_history_days","observation_window":"current_epoch","source":"system.billing.usage","source_field":"usage_date","threshold":null,"unit":"days","value":242},"EVID-BCFB1FB057779155A6A6149B":{"comparator":"&lt;= safe","epoch_scope":"CURRENT","evidence_id":"EVID-BCFB1FB057779155A6A6149B","interpretation":"Queue guardrail before reducing baseline capacity.","metric":"queued_query_pct_30","observation_window":"last 30 days within current epoch","source":"system.query.history","source_field":"waiting_at_capacity_duration_ms","threshold":0.5,"unit":"%","value":0.2},"EVID-D75BC7CEF9C5E360F50654AF":{"comparator":"","epoch_scope":"CURRENT","evidence_id":"EVID-D75BC7CEF9C5E360F50654AF","interpretation":"Forward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unavailable.","metric":"forward_aws_cost_365d","observation_window":"forward_365d","source":"derived","source_field":"aws_current_epoch_cost_model","threshold":null,"unit":"USD","value":5646.94},"EVID-E5A742070F6622EF00822E7C":{"comparator":"&gt;= reduction signal","epoch_scope":"CURRENT","evidence_id":"EVID-E5A742070F6622EF00822E7C","interpretation":"How often the warehouse sits at its minimum.","metric":"time_at_min_pct","observation_window":"current epoch","source":"system.compute.warehouse_events","source_field":"cluster_count","threshold":25.0,"unit":"%","value":62.0}}</t>
        </is>
      </c>
      <c r="AV32" s="22" t="inlineStr">
        <is>
          <t>[{"comparator":"&gt;= reduction signal","evidence_id":"EVID-E5A742070F6622EF00822E7C","metric":"time_at_min_pct","threshold":25.0},{"comparator":"&lt;= safe","evidence_id":"EVID-BCFB1FB057779155A6A6149B","metric":"queued_query_pct_30","threshold":0.5},{"comparator":"&lt;= safe","evidence_id":"EVID-712DA15CD33F4E642FC88977","metric":"p95_wait_capacity_ms_when_queued_30","threshold":5000},{"comparator":"&gt;= blocker","evidence_id":"EVID-0820CEB54C0C9FB6B9F22852","metric":"time_at_max_pct","threshold":20.0}]</t>
        </is>
      </c>
      <c r="AW32" s="22" t="inlineStr">
        <is>
          <t>[{"condition":null,"dependency_type":"KNOB","ref_id":"warehouse_size"},{"condition":null,"dependency_type":"KNOB","ref_id":"max_clusters"}]</t>
        </is>
      </c>
      <c r="AX32" s="22" t="inlineStr">
        <is>
          <t>[]</t>
        </is>
      </c>
      <c r="AY32" s="22" t="inlineStr">
        <is>
          <t>[]</t>
        </is>
      </c>
      <c r="AZ32" s="22" t="inlineStr">
        <is>
          <t>[]</t>
        </is>
      </c>
      <c r="BA32" s="22" t="inlineStr">
        <is>
          <t>[]</t>
        </is>
      </c>
    </row>
    <row r="33" ht="32" customHeight="1">
      <c r="A33" s="14" t="inlineStr">
        <is>
          <t>PKG-69BA220DC5EC020D84CA55CB</t>
        </is>
      </c>
      <c r="B33" s="14" t="inlineStr">
        <is>
          <t>CAND-E390311B2EF9D01C3C6F7D26</t>
        </is>
      </c>
      <c r="C33" s="14" t="inlineStr">
        <is>
          <t>WH-AUTOSTOP-ASSESS-001</t>
        </is>
      </c>
      <c r="D33" s="14" t="inlineStr">
        <is>
          <t>1234567890123456</t>
        </is>
      </c>
      <c r="E33" s="14" t="inlineStr">
        <is>
          <t>wh-synth-002</t>
        </is>
      </c>
      <c r="F33" s="15" t="inlineStr">
        <is>
          <t>Finance Executive</t>
        </is>
      </c>
      <c r="G33" s="16" t="inlineStr">
        <is>
          <t>finance-bi@databricks.example</t>
        </is>
      </c>
      <c r="H33" s="14" t="inlineStr">
        <is>
          <t>EPOCH-CE32989D02F869C942802E2F</t>
        </is>
      </c>
      <c r="I33" s="18" t="inlineStr">
        <is>
          <t>auto_stop_minutes</t>
        </is>
      </c>
      <c r="J33" s="18" t="inlineStr">
        <is>
          <t>NO_CHANGE</t>
        </is>
      </c>
      <c r="K33" s="15" t="inlineStr">
        <is>
          <t>COST</t>
        </is>
      </c>
      <c r="L33" s="15" t="n">
        <v>30</v>
      </c>
      <c r="M33" s="15" t="n">
        <v>30</v>
      </c>
      <c r="N33" s="15" t="inlineStr">
        <is>
          <t>Current auto-stop is already at or below the deterministic target.</t>
        </is>
      </c>
      <c r="O33" s="21" t="n">
        <v>0.8</v>
      </c>
      <c r="P33" s="18" t="inlineStr">
        <is>
          <t>HIGH</t>
        </is>
      </c>
      <c r="Q33" s="18" t="b">
        <v>1</v>
      </c>
      <c r="R33" s="16" t="inlineStr">
        <is>
          <t>USD</t>
        </is>
      </c>
      <c r="S33" s="18" t="inlineStr">
        <is>
          <t>NO_CHANGE</t>
        </is>
      </c>
      <c r="T33" s="19" t="n">
        <v>18000</v>
      </c>
      <c r="U33" s="19" t="n">
        <v>5646.94</v>
      </c>
      <c r="V33" s="19" t="n">
        <v>23646.94</v>
      </c>
      <c r="W33" s="19" t="n">
        <v>0</v>
      </c>
      <c r="X33" s="19" t="n">
        <v>0</v>
      </c>
      <c r="Y33" s="19" t="n">
        <v>0</v>
      </c>
      <c r="Z33" s="19" t="n">
        <v>0</v>
      </c>
      <c r="AA33" s="19" t="n">
        <v>0</v>
      </c>
      <c r="AB33" s="19" t="n">
        <v>0</v>
      </c>
      <c r="AC33" s="19" t="n">
        <v>0</v>
      </c>
      <c r="AD33" s="19" t="n">
        <v>0</v>
      </c>
      <c r="AE33" s="19" t="n">
        <v>0</v>
      </c>
      <c r="AF33" s="19" t="n">
        <v>23646.94</v>
      </c>
      <c r="AG33" s="19" t="n">
        <v>23646.94</v>
      </c>
      <c r="AH33" s="19" t="n">
        <v>23646.94</v>
      </c>
      <c r="AI33" s="18" t="b">
        <v>0</v>
      </c>
      <c r="AJ33" s="18" t="inlineStr">
        <is>
          <t>NOT_APPLIED</t>
        </is>
      </c>
      <c r="AK33" s="16" t="inlineStr">
        <is>
          <t>—</t>
        </is>
      </c>
      <c r="AL33" s="18" t="inlineStr">
        <is>
          <t>—</t>
        </is>
      </c>
      <c r="AM33" s="19" t="inlineStr">
        <is>
          <t>UNAVAILABLE</t>
        </is>
      </c>
      <c r="AN33" s="19" t="inlineStr">
        <is>
          <t>UNAVAILABLE</t>
        </is>
      </c>
      <c r="AO33" s="19" t="inlineStr">
        <is>
          <t>UNAVAILABLE</t>
        </is>
      </c>
      <c r="AP33" s="19" t="inlineStr">
        <is>
          <t>UNAVAILABLE</t>
        </is>
      </c>
      <c r="AQ33" s="18" t="inlineStr">
        <is>
          <t>—</t>
        </is>
      </c>
      <c r="AR33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33" s="22" t="inlineStr">
        <is>
          <t>{"coverage":1.0,"epoch_maturity":1.0,"sample":1.0,"signal":0.7,"stability":0.91}</t>
        </is>
      </c>
      <c r="AT33" s="22" t="inlineStr">
        <is>
          <t>["EVID-792B427D8A8CD35CE856A2F0","EVID-FFDE708589B4FB1A37CF7552","EVID-876511EC79C9ECE935F8ED00","EVID-B25114965730FF7335477B28","EVID-D558D8F42F4A30017D8B68C1","EVID-F887625EFA3AE63183C78DF3","EVID-903B0F4B759CBBBEEB13B613","EVID-3DC605E1CCF1F51DFFAE7996","EVID-736AEF23E7ED9DFBA2AA3EED","EVID-81523112C9E873756ADB144D","EVID-D75BC7CEF9C5E360F50654AF","EVID-A75501B0489D683DBC75D3A9"]</t>
        </is>
      </c>
      <c r="AU33" s="22" t="inlineStr">
        <is>
          <t>{"EVID-3DC605E1CCF1F51DFFAE7996":{"comparator":"","epoch_scope":"CURRENT","evidence_id":"EVID-3DC605E1CCF1F51DFFAE7996","interpretation":"Estimated additional off-time at the candidate target.","metric":"estimated_additional_off_minutes","observation_window":"current epoch","source":"system.query.history","source_field":"inter-query gap","threshold":null,"unit":"minutes","value":1728.0},"EVID-736AEF23E7ED9DFBA2AA3EED":{"comparator":"","epoch_scope":"CURRENT","evidence_id":"EVID-736AEF23E7ED9DFBA2AA3EED","interpretation":"Observed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price","threshold":null,"unit":"USD","value":15840.0},"EVID-792B427D8A8CD35CE856A2F0":{"comparator":"&gt; target","epoch_scope":"CURRENT","evidence_id":"EVID-792B427D8A8CD35CE856A2F0","interpretation":"Current idle termination setting versus deterministic policy target.","metric":"auto_stop_minutes","observation_window":"current epoch","source":"system.compute.warehouses","source_field":"auto_stop_minutes","threshold":30,"unit":"minutes","value":30},"EVID-81523112C9E873756ADB144D":{"comparator":"","epoch_scope":"CURRENT","evidence_id":"EVID-81523112C9E873756ADB144D","interpretation":"No-change forward DBU cost forecast anchored to the current configuration epoch.","metric":"forward_dbu_cost_365d","observation_window":"forward_365d","source":"derived","source_field":"epoch-runrate-v2.7","threshold":null,"unit":"USD","value":18000.0},"EVID-876511EC79C9ECE935F8ED00":{"comparator":"&gt;= evidence minimum","epoch_scope":"CURRENT","evidence_id":"EVID-876511EC79C9ECE935F8ED00","interpretation":"Non-overlapping inter-query gap sample supporting the auto-stop counterfactual.","metric":"idle_gap_count","observation_window":"current epoch","source":"system.query.history","source_field":"start_time/end_time","threshold":30,"unit":"gaps","value":360},"EVID-903B0F4B759CBBBEEB13B613":{"comparator":"&gt;= cold-start blocker","epoch_scope":"CURRENT","evidence_id":"EVID-903B0F4B759CBBBEEB13B613","interpretation":"Restart frequency guardrail.","metric":"starts_per_active_day_30","observation_window":"last 30 days within current epoch","source":"system.compute.warehouse_events","source_field":"event_type=STARTING","threshold":0.5,"unit":"starts/day","value":0.2333},"EVID-A75501B0489D683DBC75D3A9":{"comparator":"","epoch_scope":"CURRENT","evidence_id":"EVID-A75501B0489D683DBC75D3A9","interpretation":"Calendar-day coverage available to the forward cost model.","metric":"cost_history_days","observation_window":"current_epoch","source":"system.billing.usage","source_field":"usage_date","threshold":null,"unit":"days","value":242},"EVID-B25114965730FF7335477B28":{"comparator":"&gt;= evidence minimum","epoch_scope":"CURRENT","evidence_id":"EVID-B25114965730FF7335477B28","interpretation":"Observed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30000.0},"EVID-D558D8F42F4A30017D8B68C1":{"comparator":"","epoch_scope":"CURRENT","evidence_id":"EVID-D558D8F42F4A30017D8B68C1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epoch","source":"system.query.history","source_field":"waiting_for_compute_duration_ms","threshold":null,"unit":"queries","value":7},"EVID-D75BC7CEF9C5E360F50654AF":{"comparator":"","epoch_scope":"CURRENT","evidence_id":"EVID-D75BC7CEF9C5E360F50654AF","interpretation":"Forward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unavailable.","metric":"forward_aws_cost_365d","observation_window":"forward_365d","source":"derived","source_field":"aws_current_epoch_cost_model","threshold":null,"unit":"USD","value":5646.94},"EVID-F887625EFA3AE63183C78DF3":{"comparator":"&gt;= cold-start blocker","epoch_scope":"CURRENT","evidence_id":"EVID-F887625EFA3AE63183C78DF3","interpretation":"Cold-start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epoch","source":"system.query.history","source_field":"waiting_for_compute_duration_ms","threshold":60000,"unit":"ms","value":3500},"EVID-FFDE708589B4FB1A37CF7552":{"comparator":"","epoch_scope":"CURRENT","evidence_id":"EVID-FFDE708589B4FB1A37CF7552","interpretation":"Activity density selects the auto-stop target.","metric":"queries_per_active_day_30","observation_window":"last 30 days within current epoch","source":"system.query.history","source_field":"start_time","threshold":null,"unit":"queries/day","value":300.0}}</t>
        </is>
      </c>
      <c r="AV33" s="22" t="inlineStr">
        <is>
          <t>[{"comparator":"&gt; target","evidence_id":"EVID-792B427D8A8CD35CE856A2F0","metric":"auto_stop_minutes","threshold":30},{"comparator":"&gt;= evidence minimum","evidence_id":"EVID-876511EC79C9ECE935F8ED00","metric":"idle_gap_count","threshold":30},{"comparator":"&gt;= evidence minimum","evidence_id":"EVID-B25114965730FF7335477B28","metric":"cluster_minutes","threshold":1.0},{"comparator":"&gt;= cold-start blocker","evidence_id":"EVID-F887625EFA3AE63183C78DF3","metric":"p95_wait_compute_ms_when_waited_30","threshold":60000},{"comparator":"&gt;= cold-start blocker","evidence_id":"EVID-903B0F4B759CBBBEEB13B613","metric":"starts_per_active_day_30","threshold":0.5}]</t>
        </is>
      </c>
      <c r="AW33" s="22" t="inlineStr">
        <is>
          <t>[{"condition":null,"dependency_type":"KNOB","ref_id":"min_clusters"}]</t>
        </is>
      </c>
      <c r="AX33" s="22" t="inlineStr">
        <is>
          <t>[]</t>
        </is>
      </c>
      <c r="AY33" s="22" t="inlineStr">
        <is>
          <t>[]</t>
        </is>
      </c>
      <c r="AZ33" s="22" t="inlineStr">
        <is>
          <t>[]</t>
        </is>
      </c>
      <c r="BA33" s="22" t="inlineStr">
        <is>
          <t>[]</t>
        </is>
      </c>
    </row>
    <row r="34" ht="32" customHeight="1">
      <c r="A34" s="14" t="inlineStr">
        <is>
          <t>PKG-69BA220DC5EC020D84CA55CB</t>
        </is>
      </c>
      <c r="B34" s="14" t="inlineStr">
        <is>
          <t>CAND-6E8B69CCEE3CE8F4973519A4</t>
        </is>
      </c>
      <c r="C34" s="14" t="inlineStr">
        <is>
          <t>WH-SERVERLESS-MIGRATE-001</t>
        </is>
      </c>
      <c r="D34" s="14" t="inlineStr">
        <is>
          <t>1234567890123456</t>
        </is>
      </c>
      <c r="E34" s="14" t="inlineStr">
        <is>
          <t>wh-synth-002</t>
        </is>
      </c>
      <c r="F34" s="15" t="inlineStr">
        <is>
          <t>Finance Executive</t>
        </is>
      </c>
      <c r="G34" s="16" t="inlineStr">
        <is>
          <t>finance-bi@databricks.example</t>
        </is>
      </c>
      <c r="H34" s="14" t="inlineStr">
        <is>
          <t>EPOCH-CE32989D02F869C942802E2F</t>
        </is>
      </c>
      <c r="I34" s="18" t="inlineStr">
        <is>
          <t>warehouse_type</t>
        </is>
      </c>
      <c r="J34" s="18" t="inlineStr">
        <is>
          <t>TEST_REQUIRED</t>
        </is>
      </c>
      <c r="K34" s="15" t="inlineStr">
        <is>
          <t>MIGRATION, COST_AND_PERFORMANCE, OPERATIONS</t>
        </is>
      </c>
      <c r="L34" s="15" t="inlineStr">
        <is>
          <t>PRO</t>
        </is>
      </c>
      <c r="M34" s="15" t="inlineStr">
        <is>
          <t>SERVERLESS</t>
        </is>
      </c>
      <c r="N34" s="15" t="inlineStr">
        <is>
          <t>Serverless is evaluated as a separate migration experiment with a pre-canary DBU/AWS counterfactual and deterministic compatibility gate.</t>
        </is>
      </c>
      <c r="O34" s="21" t="n">
        <v>0.78</v>
      </c>
      <c r="P34" s="18" t="inlineStr">
        <is>
          <t>MEDIUM</t>
        </is>
      </c>
      <c r="Q34" s="18" t="b">
        <v>1</v>
      </c>
      <c r="R34" s="16" t="inlineStr">
        <is>
          <t>USD</t>
        </is>
      </c>
      <c r="S34" s="18" t="inlineStr">
        <is>
          <t>SAVINGS</t>
        </is>
      </c>
      <c r="T34" s="19" t="n">
        <v>18000</v>
      </c>
      <c r="U34" s="19" t="n">
        <v>5646.94</v>
      </c>
      <c r="V34" s="19" t="n">
        <v>23646.94</v>
      </c>
      <c r="W34" s="19" t="n">
        <v>1107.44</v>
      </c>
      <c r="X34" s="19" t="n">
        <v>5330.58</v>
      </c>
      <c r="Y34" s="19" t="n">
        <v>9553.719999999999</v>
      </c>
      <c r="Z34" s="19" t="n">
        <v>5646.94</v>
      </c>
      <c r="AA34" s="19" t="n">
        <v>5646.94</v>
      </c>
      <c r="AB34" s="19" t="n">
        <v>5646.94</v>
      </c>
      <c r="AC34" s="19" t="n">
        <v>6754.38</v>
      </c>
      <c r="AD34" s="19" t="n">
        <v>10977.52</v>
      </c>
      <c r="AE34" s="19" t="n">
        <v>15200.66</v>
      </c>
      <c r="AF34" s="19" t="n">
        <v>8446.280000000001</v>
      </c>
      <c r="AG34" s="19" t="n">
        <v>12669.42</v>
      </c>
      <c r="AH34" s="19" t="n">
        <v>16892.56</v>
      </c>
      <c r="AI34" s="18" t="b">
        <v>0</v>
      </c>
      <c r="AJ34" s="18" t="inlineStr">
        <is>
          <t>NOT_APPLIED</t>
        </is>
      </c>
      <c r="AK34" s="16" t="inlineStr">
        <is>
          <t>—</t>
        </is>
      </c>
      <c r="AL34" s="18" t="inlineStr">
        <is>
          <t>—</t>
        </is>
      </c>
      <c r="AM34" s="19" t="inlineStr">
        <is>
          <t>UNAVAILABLE</t>
        </is>
      </c>
      <c r="AN34" s="19" t="inlineStr">
        <is>
          <t>UNAVAILABLE</t>
        </is>
      </c>
      <c r="AO34" s="19" t="inlineStr">
        <is>
          <t>UNAVAILABLE</t>
        </is>
      </c>
      <c r="AP34" s="19" t="inlineStr">
        <is>
          <t>UNAVAILABLE</t>
        </is>
      </c>
      <c r="AQ34" s="18" t="inlineStr">
        <is>
          <t>—</t>
        </is>
      </c>
      <c r="AR34" s="15" t="inlineStr">
        <is>
          <t>No numeric threshold</t>
        </is>
      </c>
      <c r="AS34" s="22" t="inlineStr">
        <is>
          <t>{"coverage":1.0,"epoch_maturity":1.0,"sample":1.0,"signal":1.0,"stability":0.91}</t>
        </is>
      </c>
      <c r="AT34" s="22" t="inlineStr">
        <is>
          <t>["EVID-FCA9DE9BECCD4E0E057474C8","EVID-55950F406DCC975F644FF58E","EVID-46C83E93199765E6A01DF9CD","EVID-361CBF305B9F3C7406789ACF","EVID-5FB552A4A794A6CFE7CAB1F3","EVID-D05F11599AD06F29F9E033F1","EVID-03E8FAF1FDB44202845A18D1","EVID-330FF1973264E6F5B82457C4","EVID-40DC3FEE74AE4DDCC6F181D7","EVID-82A2364471F4A6799601E11B","EVID-1B192ACCE952B9BA66BB97FB","EVID-CD0CA3D3B4B2BC5566C1D1F9","EVID-B20B311CF63DDB084A77C558","EVID-736AEF23E7ED9DFBA2AA3EED","EVID-81523112C9E873756ADB144D","EVID-D75BC7CEF9C5E360F50654AF","EVID-A75501B0489D683DBC75D3A9"]</t>
        </is>
      </c>
      <c r="AU34" s="22" t="inlineStr">
        <is>
          <t>{"EVID-03E8FAF1FDB44202845A18D1":{"comparator":"","epoch_scope":"CURRENT","evidence_id":"EVID-03E8FAF1FDB44202845A18D1","interpretation":"Genie workload mix context.","metric":"genie_queries_30","observation_window":"last 30 days within current epoch","source":"system.query.history","source_field":"query_source.genie_space_id","threshold":null,"unit":"queries","value":0},"EVID-1B192ACCE952B9BA66BB97FB":{"comparator":"","epoch_scope":"CURRENT","evidence_id":"EVID-1B192ACCE952B9BA66BB97FB","interpretation":"Tableau client workload mix context.","metric":"tableau_queries_30","observation_window":"last 30 days within current epoch","source":"system.query.history","source_field":"client_application","threshold":null,"unit":"queries","value":0},"EVID-330FF1973264E6F5B82457C4":{"comparator":"","epoch_scope":"CURRENT","evidence_id":"EVID-330FF1973264E6F5B82457C4","interpretation":"Alert workload mix context.","metric":"alert_queries_30","observation_window":"last 30 days within current epoch","source":"system.query.history","source_field":"query_source.alert_id","threshold":null,"unit":"queries","value":0},"EVID-361CBF305B9F3C7406789ACF":{"comparator":"","epoch_scope":"CURRENT","evidence_id":"EVID-361CBF305B9F3C7406789ACF","interpretation":"Dashboard workload mix context.","metric":"dashboard_queries_30","observation_window":"last 30 days within current epoch","source":"system.query.history","source_field":"query_source.dashboard_id","threshold":null,"unit":"queries","value":6750},"EVID-40DC3FEE74AE4DDCC6F181D7":{"comparator":"","epoch_scope":"CURRENT","evidence_id":"EVID-40DC3FEE74AE4DDCC6F181D7","interpretation":"Databricks SQL editor/query workload mix context.","metric":"sql_editor_queries_30","observation_window":"last 30 days within current epoch","source":"system.query.history","source_field":"query_source.sql_query_id","threshold":null,"unit":"queries","value":720},"EVID-46C83E93199765E6A01DF9CD":{"comparator":"","epoch_scope":"CURRENT","evidence_id":"EVID-46C83E93199765E6A01DF9CD","interpretation":"Query-tag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epoch","source":"system.query.history","source_field":"query_tags","threshold":null,"unit":"%","value":70.0},"EVID-55950F406DCC975F644FF58E":{"comparator":"","epoch_scope":"CURRENT","evidence_id":"EVID-55950F406DCC975F644FF58E","interpretation":"Observed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days","source":"system.billing.usage","source_field":"product_features.is_serverless","threshold":null,"unit":"%","value":0.0},"EVID-5FB552A4A794A6CFE7CAB1F3":{"comparator":"","epoch_scope":"CURRENT","evidence_id":"EVID-5FB552A4A794A6CFE7CAB1F3","interpretation":"Job workload mix context.","metric":"job_queries_30","observation_window":"last 30 days within current epoch","source":"system.query.history","source_field":"query_source.job_info.job_id","threshold":null,"unit":"queries","value":0},"EVID-736AEF23E7ED9DFBA2AA3EED":{"comparator":"","epoch_scope":"CURRENT","evidence_id":"EVID-736AEF23E7ED9DFBA2AA3EED","interpretation":"Observed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price","threshold":null,"unit":"USD","value":15840.0},"EVID-81523112C9E873756ADB144D":{"comparator":"","epoch_scope":"CURRENT","evidence_id":"EVID-81523112C9E873756ADB144D","interpretation":"No-change forward DBU cost forecast anchored to the current configuration epoch.","metric":"forward_dbu_cost_365d","observation_window":"forward_365d","source":"derived","source_field":"epoch-runrate-v2.7","threshold":null,"unit":"USD","value":18000.0},"EVID-82A2364471F4A6799601E11B":{"comparator":"","epoch_scope":"CURRENT","evidence_id":"EVID-82A2364471F4A6799601E11B","interpretation":"Power BI client workload mix context.","metric":"power_bi_queries_30","observation_window":"last 30 days within current epoch","source":"system.query.history","source_field":"client_application","threshold":null,"unit":"queries","value":2250},"EVID-A75501B0489D683DBC75D3A9":{"comparator":"","epoch_scope":"CURRENT","evidence_id":"EVID-A75501B0489D683DBC75D3A9","interpretation":"Calendar-day coverage available to the forward cost model.","metric":"cost_history_days","observation_window":"current_epoch","source":"system.billing.usage","source_field":"usage_date","threshold":null,"unit":"days","value":242},"EVID-B20B311CF63DDB084A77C558":{"comparator":"","epoch_scope":"CURRENT","evidence_id":"EVID-B20B311CF63DDB084A77C558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only)","threshold":null,"unit":"queries","value":0},"EVID-CD0CA3D3B4B2BC5566C1D1F9":{"comparator":"","epoch_scope":"CURRENT","evidence_id":"EVID-CD0CA3D3B4B2BC5566C1D1F9","interpretation":"Coverage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epoch","source":"system.query.history","source_field":"statement_text","threshold":null,"unit":"%","value":100.0},"EVID-D05F11599AD06F29F9E033F1":{"comparator":"","epoch_scope":"CURRENT","evidence_id":"EVID-D05F11599AD06F29F9E033F1","interpretation":"Notebook workload mix context.","metric":"notebook_queries_30","observation_window":"last 30 days within current epoch","source":"system.query.history","source_field":"query_source.notebook_id","threshold":null,"unit":"queries","value":0},"EVID-D75BC7CEF9C5E360F50654AF":{"comparator":"","epoch_scope":"CURRENT","evidence_id":"EVID-D75BC7CEF9C5E360F50654AF","interpretation":"Forward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5646.94},"EVID-FCA9DE9BECCD4E0E057474C8":{"comparator":"","epoch_scope":"CURRENT","evidence_id":"EVID-FCA9DE9BECCD4E0E057474C8","interpretation":"Current warehouse type.","metric":"warehouse_type","observation_window":"current epoch","source":"system.compute.warehouses","source_field":"warehouse_type","threshold":null,"unit":"value","value":"PRO"}}</t>
        </is>
      </c>
      <c r="AV34" s="22" t="inlineStr">
        <is>
          <t>[]</t>
        </is>
      </c>
      <c r="AW34" s="22" t="inlineStr">
        <is>
          <t>[]</t>
        </is>
      </c>
      <c r="AX34" s="22" t="inlineStr">
        <is>
          <t>["warehouse_size","max_clusters","min_clusters","auto_stop_minutes"]</t>
        </is>
      </c>
      <c r="AY34" s="22" t="inlineStr">
        <is>
          <t>["A_B_COST_PERFORMANCE_VALIDATION_REQUIRED"]</t>
        </is>
      </c>
      <c r="AZ34" s="22" t="inlineStr">
        <is>
          <t>[{"execution_state":"READY_FOR_CANARY","scenario_id":"SCN-562458A34AA20834D8E26D00","scenario_name":"Plan B — Serverless migration experiment","step":2}]</t>
        </is>
      </c>
      <c r="BA34" s="22" t="inlineStr">
        <is>
          <t>[]</t>
        </is>
      </c>
    </row>
    <row r="35" ht="32" customHeight="1">
      <c r="A35" s="14" t="inlineStr">
        <is>
          <t>PKG-1B297C98438DC42F237017DA</t>
        </is>
      </c>
      <c r="B35" s="14" t="inlineStr">
        <is>
          <t>CAND-6B9EEF223CD62A0B0720714A</t>
        </is>
      </c>
      <c r="C35" s="14" t="inlineStr">
        <is>
          <t>WH-CHANNEL-CURRENT-001</t>
        </is>
      </c>
      <c r="D35" s="14" t="inlineStr">
        <is>
          <t>1234567890123456</t>
        </is>
      </c>
      <c r="E35" s="14" t="inlineStr">
        <is>
          <t>wh-synth-003</t>
        </is>
      </c>
      <c r="F35" s="15" t="inlineStr">
        <is>
          <t>Marketing Ad Hoc</t>
        </is>
      </c>
      <c r="G35" s="16" t="inlineStr">
        <is>
          <t>marketing-analytics@databricks.example</t>
        </is>
      </c>
      <c r="H35" s="14" t="inlineStr">
        <is>
          <t>EPOCH-A418A413C4F8F62F08F2D451</t>
        </is>
      </c>
      <c r="I35" s="18" t="inlineStr">
        <is>
          <t>warehouse_channel</t>
        </is>
      </c>
      <c r="J35" s="18" t="inlineStr">
        <is>
          <t>NO_CHANGE</t>
        </is>
      </c>
      <c r="K35" s="15" t="inlineStr">
        <is>
          <t>STABILITY</t>
        </is>
      </c>
      <c r="L35" s="15" t="inlineStr">
        <is>
          <t>CURRENT</t>
        </is>
      </c>
      <c r="M35" s="15" t="inlineStr">
        <is>
          <t>CURRENT</t>
        </is>
      </c>
      <c r="N35" s="15" t="inlineStr">
        <is>
          <t>No channel change indicated.</t>
        </is>
      </c>
      <c r="O35" s="21" t="n">
        <v>0.8</v>
      </c>
      <c r="P35" s="18" t="inlineStr">
        <is>
          <t>HIGH</t>
        </is>
      </c>
      <c r="Q35" s="18" t="b">
        <v>1</v>
      </c>
      <c r="R35" s="16" t="inlineStr">
        <is>
          <t>USD</t>
        </is>
      </c>
      <c r="S35" s="18" t="inlineStr">
        <is>
          <t>NO_CHANGE</t>
        </is>
      </c>
      <c r="T35" s="19" t="n">
        <v>14500</v>
      </c>
      <c r="U35" s="19" t="n">
        <v>6659.65</v>
      </c>
      <c r="V35" s="19" t="n">
        <v>21159.65</v>
      </c>
      <c r="W35" s="19" t="n">
        <v>0</v>
      </c>
      <c r="X35" s="19" t="n">
        <v>0</v>
      </c>
      <c r="Y35" s="19" t="n">
        <v>0</v>
      </c>
      <c r="Z35" s="19" t="n">
        <v>0</v>
      </c>
      <c r="AA35" s="19" t="n">
        <v>0</v>
      </c>
      <c r="AB35" s="19" t="n">
        <v>0</v>
      </c>
      <c r="AC35" s="19" t="n">
        <v>0</v>
      </c>
      <c r="AD35" s="19" t="n">
        <v>0</v>
      </c>
      <c r="AE35" s="19" t="n">
        <v>0</v>
      </c>
      <c r="AF35" s="19" t="n">
        <v>21159.65</v>
      </c>
      <c r="AG35" s="19" t="n">
        <v>21159.65</v>
      </c>
      <c r="AH35" s="19" t="n">
        <v>21159.65</v>
      </c>
      <c r="AI35" s="18" t="b">
        <v>0</v>
      </c>
      <c r="AJ35" s="18" t="inlineStr">
        <is>
          <t>NOT_APPLIED</t>
        </is>
      </c>
      <c r="AK35" s="16" t="inlineStr">
        <is>
          <t>—</t>
        </is>
      </c>
      <c r="AL35" s="18" t="inlineStr">
        <is>
          <t>—</t>
        </is>
      </c>
      <c r="AM35" s="19" t="inlineStr">
        <is>
          <t>UNAVAILABLE</t>
        </is>
      </c>
      <c r="AN35" s="19" t="inlineStr">
        <is>
          <t>UNAVAILABLE</t>
        </is>
      </c>
      <c r="AO35" s="19" t="inlineStr">
        <is>
          <t>UNAVAILABLE</t>
        </is>
      </c>
      <c r="AP35" s="19" t="inlineStr">
        <is>
          <t>UNAVAILABLE</t>
        </is>
      </c>
      <c r="AQ35" s="18" t="inlineStr">
        <is>
          <t>—</t>
        </is>
      </c>
      <c r="AR35" s="15" t="inlineStr">
        <is>
          <t>No numeric threshold</t>
        </is>
      </c>
      <c r="AS35" s="22" t="inlineStr">
        <is>
          <t>{"coverage":1.0,"epoch_maturity":1.0,"sample":1.0,"signal":0.7,"stability":0.91}</t>
        </is>
      </c>
      <c r="AT35" s="22" t="inlineStr">
        <is>
          <t>["EVID-5C6906863C57EB98A8D88F66","EVID-6A828E733BFBF0C431954454","EVID-683B1AE13834CF7A72976437","EVID-79E52EE17204D63C325353E3","EVID-338FBC5F582A0343A81D5D35"]</t>
        </is>
      </c>
      <c r="AU35" s="22" t="inlineStr">
        <is>
          <t>{"EVID-338FBC5F582A0343A81D5D35":{"comparator":"","epoch_scope":"CURRENT","evidence_id":"EVID-338FBC5F582A0343A81D5D35","interpretation":"Calendar-day coverage available to the forward cost model.","metric":"cost_history_days","observation_window":"current_epoch","source":"system.billing.usage","source_field":"usage_date","threshold":null,"unit":"days","value":228},"EVID-5C6906863C57EB98A8D88F66":{"comparator":"","epoch_scope":"CURRENT","evidence_id":"EVID-5C6906863C57EB98A8D88F66","interpretation":"Current release channel from the current configuration epoch.","metric":"warehouse_channel","observation_window":"current epoch","source":"system.compute.warehouses","source_field":"warehouse_channel","threshold":null,"unit":"value","value":"CURRENT"},"EVID-683B1AE13834CF7A72976437":{"comparator":"","epoch_scope":"CURRENT","evidence_id":"EVID-683B1AE13834CF7A72976437","interpretation":"No-change forward DBU cost forecast anchored to the current configuration epoch.","metric":"forward_dbu_cost_365d","observation_window":"forward_365d","source":"derived","source_field":"epoch-runrate-v2.7","threshold":null,"unit":"USD","value":14500.0},"EVID-6A828E733BFBF0C431954454":{"comparator":"","epoch_scope":"CURRENT","evidence_id":"EVID-6A828E733BFBF0C431954454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price","threshold":null,"unit":"USD","value":12760.0},"EVID-79E52EE17204D63C325353E3":{"comparator":"","epoch_scope":"CURRENT","evidence_id":"EVID-79E52EE17204D63C325353E3","interpretation":"Forward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unavailable.","metric":"forward_aws_cost_365d","observation_window":"forward_365d","source":"derived","source_field":"aws_current_epoch_cost_model","threshold":null,"unit":"USD","value":6659.65}}</t>
        </is>
      </c>
      <c r="AV35" s="22" t="inlineStr">
        <is>
          <t>[]</t>
        </is>
      </c>
      <c r="AW35" s="22" t="inlineStr">
        <is>
          <t>[]</t>
        </is>
      </c>
      <c r="AX35" s="22" t="inlineStr">
        <is>
          <t>[]</t>
        </is>
      </c>
      <c r="AY35" s="22" t="inlineStr">
        <is>
          <t>[]</t>
        </is>
      </c>
      <c r="AZ35" s="22" t="inlineStr">
        <is>
          <t>[]</t>
        </is>
      </c>
      <c r="BA35" s="22" t="inlineStr">
        <is>
          <t>[]</t>
        </is>
      </c>
    </row>
    <row r="36" ht="32" customHeight="1">
      <c r="A36" s="14" t="inlineStr">
        <is>
          <t>PKG-1B297C98438DC42F237017DA</t>
        </is>
      </c>
      <c r="B36" s="14" t="inlineStr">
        <is>
          <t>CAND-F878D946224283BA589FD98A</t>
        </is>
      </c>
      <c r="C36" s="14" t="inlineStr">
        <is>
          <t>WH-SIZE-DOWNSIZE-001</t>
        </is>
      </c>
      <c r="D36" s="14" t="inlineStr">
        <is>
          <t>1234567890123456</t>
        </is>
      </c>
      <c r="E36" s="14" t="inlineStr">
        <is>
          <t>wh-synth-003</t>
        </is>
      </c>
      <c r="F36" s="15" t="inlineStr">
        <is>
          <t>Marketing Ad Hoc</t>
        </is>
      </c>
      <c r="G36" s="16" t="inlineStr">
        <is>
          <t>marketing-analytics@databricks.example</t>
        </is>
      </c>
      <c r="H36" s="14" t="inlineStr">
        <is>
          <t>EPOCH-A418A413C4F8F62F08F2D451</t>
        </is>
      </c>
      <c r="I36" s="18" t="inlineStr">
        <is>
          <t>warehouse_size</t>
        </is>
      </c>
      <c r="J36" s="18" t="inlineStr">
        <is>
          <t>TEST_REQUIRED</t>
        </is>
      </c>
      <c r="K36" s="15" t="inlineStr">
        <is>
          <t>COST</t>
        </is>
      </c>
      <c r="L36" s="15" t="inlineStr">
        <is>
          <t>LARGE</t>
        </is>
      </c>
      <c r="M36" s="15" t="inlineStr">
        <is>
          <t>MEDIUM</t>
        </is>
      </c>
      <c r="N36" s="15" t="inlineStr">
        <is>
          <t>Low spill, queueing, and latency make one-size down a controlled canary candidate; absence of pressure is not proof of SLA safety.</t>
        </is>
      </c>
      <c r="O36" s="21" t="n">
        <v>0.78</v>
      </c>
      <c r="P36" s="18" t="inlineStr">
        <is>
          <t>MEDIUM</t>
        </is>
      </c>
      <c r="Q36" s="18" t="b">
        <v>1</v>
      </c>
      <c r="R36" s="16" t="inlineStr">
        <is>
          <t>USD</t>
        </is>
      </c>
      <c r="S36" s="18" t="inlineStr">
        <is>
          <t>SAVINGS</t>
        </is>
      </c>
      <c r="T36" s="19" t="n">
        <v>14500</v>
      </c>
      <c r="U36" s="19" t="n">
        <v>6659.65</v>
      </c>
      <c r="V36" s="19" t="n">
        <v>21159.65</v>
      </c>
      <c r="W36" s="19" t="n">
        <v>-3500</v>
      </c>
      <c r="X36" s="19" t="n">
        <v>1900</v>
      </c>
      <c r="Y36" s="19" t="n">
        <v>5500</v>
      </c>
      <c r="Z36" s="19" t="n">
        <v>2663.86</v>
      </c>
      <c r="AA36" s="19" t="n">
        <v>3862.6</v>
      </c>
      <c r="AB36" s="19" t="n">
        <v>4661.76</v>
      </c>
      <c r="AC36" s="19" t="n">
        <v>-836.14</v>
      </c>
      <c r="AD36" s="19" t="n">
        <v>5762.6</v>
      </c>
      <c r="AE36" s="19" t="n">
        <v>10161.76</v>
      </c>
      <c r="AF36" s="19" t="n">
        <v>10997.89</v>
      </c>
      <c r="AG36" s="19" t="n">
        <v>15397.05</v>
      </c>
      <c r="AH36" s="19" t="n">
        <v>21995.79</v>
      </c>
      <c r="AI36" s="18" t="b">
        <v>0</v>
      </c>
      <c r="AJ36" s="18" t="inlineStr">
        <is>
          <t>NOT_APPLIED</t>
        </is>
      </c>
      <c r="AK36" s="16" t="inlineStr">
        <is>
          <t>—</t>
        </is>
      </c>
      <c r="AL36" s="18" t="inlineStr">
        <is>
          <t>—</t>
        </is>
      </c>
      <c r="AM36" s="19" t="inlineStr">
        <is>
          <t>UNAVAILABLE</t>
        </is>
      </c>
      <c r="AN36" s="19" t="inlineStr">
        <is>
          <t>UNAVAILABLE</t>
        </is>
      </c>
      <c r="AO36" s="19" t="inlineStr">
        <is>
          <t>UNAVAILABLE</t>
        </is>
      </c>
      <c r="AP36" s="19" t="inlineStr">
        <is>
          <t>UNAVAILABLE</t>
        </is>
      </c>
      <c r="AQ36" s="18" t="inlineStr">
        <is>
          <t>—</t>
        </is>
      </c>
      <c r="AR36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36" s="22" t="inlineStr">
        <is>
          <t>{"coverage":1.0,"epoch_maturity":1.0,"sample":1.0,"signal":1.0,"stability":0.91}</t>
        </is>
      </c>
      <c r="AT36" s="22" t="inlineStr">
        <is>
          <t>["EVID-FBBD7CA62DAF0F3CE7D41AA7","EVID-3B28A16644A2A57DA7060FEB","EVID-A15E47B73E05ED02C3C19CD2","EVID-D279C5B2E8AE57BAA1C94081","EVID-9BFCB9789587DE8B131F843F","EVID-29BAC5FF64717D55401618A4","EVID-754094313E68ACA0FA861C99","EVID-48F5313AC3181ACA7638598F","EVID-6A828E733BFBF0C431954454","EVID-683B1AE13834CF7A72976437","EVID-79E52EE17204D63C325353E3","EVID-338FBC5F582A0343A81D5D35"]</t>
        </is>
      </c>
      <c r="AU36" s="22" t="inlineStr">
        <is>
          <t>{"EVID-29BAC5FF64717D55401618A4":{"comparator":"&lt;= downsize-safe","epoch_scope":"CURRENT","evidence_id":"EVID-29BAC5FF64717D55401618A4","interpretation":"Tail execution latency guardrail.","metric":"p95_execution_ms_30","observation_window":"last 30 days within current epoch","source":"system.query.history","source_field":"execution_duration_ms","threshold":5000,"unit":"ms","value":2800},"EVID-338FBC5F582A0343A81D5D35":{"comparator":"","epoch_scope":"CURRENT","evidence_id":"EVID-338FBC5F582A0343A81D5D35","interpretation":"Calendar-day coverage available to the forward cost model.","metric":"cost_history_days","observation_window":"current_epoch","source":"system.billing.usage","source_field":"usage_date","threshold":null,"unit":"days","value":228},"EVID-3B28A16644A2A57DA7060FEB":{"comparator":"&gt;= upsize signal","epoch_scope":"CURRENT","evidence_id":"EVID-3B28A16644A2A57DA7060FEB","interpretation":"Frequency of queries spilling to local storage.","metric":"spill_query_pct_30","observation_window":"last 30 days within current epoch","source":"system.query.history","source_field":"spilled_local_bytes","threshold":2.0,"unit":"%","value":0.0},"EVID-48F5313AC3181ACA7638598F":{"comparator":"","epoch_scope":"CURRENT","evidence_id":"EVID-48F5313AC3181ACA7638598F","interpretation":"I/O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epoch","source":"system.query.history","source_field":"read_io_cache_percent","threshold":null,"unit":"%","value":35.0},"EVID-683B1AE13834CF7A72976437":{"comparator":"","epoch_scope":"CURRENT","evidence_id":"EVID-683B1AE13834CF7A72976437","interpretation":"No-change forward DBU cost forecast anchored to the current configuration epoch.","metric":"forward_dbu_cost_365d","observation_window":"forward_365d","source":"derived","source_field":"epoch-runrate-v2.7","threshold":null,"unit":"USD","value":14500.0},"EVID-6A828E733BFBF0C431954454":{"comparator":"","epoch_scope":"CURRENT","evidence_id":"EVID-6A828E733BFBF0C431954454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price","threshold":null,"unit":"USD","value":12760.0},"EVID-754094313E68ACA0FA861C99":{"comparator":"&lt;= downsize-safe","epoch_scope":"CURRENT","evidence_id":"EVID-754094313E68ACA0FA861C99","interpretation":"Extreme tail execution latency guardrail.","metric":"p99_execution_ms_30","observation_window":"last 30 days within current epoch","source":"system.query.history","source_field":"execution_duration_ms","threshold":30000,"unit":"ms","value":11000},"EVID-79E52EE17204D63C325353E3":{"comparator":"","epoch_scope":"CURRENT","evidence_id":"EVID-79E52EE17204D63C325353E3","interpretation":"Forward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unavailable.","metric":"forward_aws_cost_365d","observation_window":"forward_365d","source":"derived","source_field":"aws_current_epoch_cost_model","threshold":null,"unit":"USD","value":6659.65},"EVID-9BFCB9789587DE8B131F843F":{"comparator":"&lt;= downsize-safe","epoch_scope":"CURRENT","evidence_id":"EVID-9BFCB9789587DE8B131F843F","interpretation":"Concurrency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epoch","source":"system.query.history","source_field":"waiting_at_capacity_duration_ms","threshold":0.5,"unit":"%","value":0.0},"EVID-A15E47B73E05ED02C3C19CD2":{"comparator":"&gt;= evidence minimum for upsize","epoch_scope":"CURRENT","evidence_id":"EVID-A15E47B73E05ED02C3C19CD2","interpretation":"Queries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epoch","source":"system.query.history","source_field":"spilled_local_bytes","threshold":20,"unit":"queries","value":0},"EVID-D279C5B2E8AE57BAA1C94081":{"comparator":"&gt;= upsize signal","epoch_scope":"CURRENT","evidence_id":"EVID-D279C5B2E8AE57BAA1C94081","interpretation":"Severity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epoch","source":"system.query.history","source_field":"spilled_local_bytes","threshold":1073741824,"unit":"bytes","value":0},"EVID-FBBD7CA62DAF0F3CE7D41AA7":{"comparator":"","epoch_scope":"CURRENT","evidence_id":"EVID-FBBD7CA62DAF0F3CE7D41AA7","interpretation":"Current warehouse size.","metric":"warehouse_size","observation_window":"current epoch","source":"system.compute.warehouses","source_field":"warehouse_size","threshold":null,"unit":"value","value":"LARGE"}}</t>
        </is>
      </c>
      <c r="AV36" s="22" t="inlineStr">
        <is>
          <t>[{"comparator":"&gt;= upsize signal","evidence_id":"EVID-3B28A16644A2A57DA7060FEB","metric":"spill_query_pct_30","threshold":2.0},{"comparator":"&gt;= evidence minimum for upsize","evidence_id":"EVID-A15E47B73E05ED02C3C19CD2","metric":"spill_queries_30","threshold":20},{"comparator":"&gt;= upsize signal","evidence_id":"EVID-D279C5B2E8AE57BAA1C94081","metric":"p95_spill_bytes_when_spilled_30","threshold":1073741824},{"comparator":"&lt;= downsize-safe","evidence_id":"EVID-9BFCB9789587DE8B131F843F","metric":"queued_query_pct_30","threshold":0.5},{"comparator":"&lt;= downsize-safe","evidence_id":"EVID-29BAC5FF64717D55401618A4","metric":"p95_execution_ms_30","threshold":5000},{"comparator":"&lt;= downsize-safe","evidence_id":"EVID-754094313E68ACA0FA861C99","metric":"p99_execution_ms_30","threshold":30000}]</t>
        </is>
      </c>
      <c r="AW36" s="22" t="inlineStr">
        <is>
          <t>[{"condition":null,"dependency_type":"KNOB","ref_id":"warehouse_channel"}]</t>
        </is>
      </c>
      <c r="AX36" s="22" t="inlineStr">
        <is>
          <t>["max_clusters","min_clusters","auto_stop_minutes"]</t>
        </is>
      </c>
      <c r="AY36" s="22" t="inlineStr">
        <is>
          <t>["A_B_PERFORMANCE_VALIDATION_REQUIRED"]</t>
        </is>
      </c>
      <c r="AZ36" s="22" t="inlineStr">
        <is>
          <t>[{"execution_state":"READY_FOR_CANARY","scenario_id":"SCN-D7CBE49F5C50DE0E816A9CD2","scenario_name":"Plan A — Optimize current warehouse type","step":1}]</t>
        </is>
      </c>
      <c r="BA36" s="22" t="inlineStr">
        <is>
          <t>[]</t>
        </is>
      </c>
    </row>
    <row r="37" ht="32" customHeight="1">
      <c r="A37" s="14" t="inlineStr">
        <is>
          <t>PKG-1B297C98438DC42F237017DA</t>
        </is>
      </c>
      <c r="B37" s="14" t="inlineStr">
        <is>
          <t>CAND-8931F3BE78641A385D65130D</t>
        </is>
      </c>
      <c r="C37" s="14" t="inlineStr">
        <is>
          <t>WH-MAX-CLUSTER-REDUCE-001</t>
        </is>
      </c>
      <c r="D37" s="14" t="inlineStr">
        <is>
          <t>1234567890123456</t>
        </is>
      </c>
      <c r="E37" s="14" t="inlineStr">
        <is>
          <t>wh-synth-003</t>
        </is>
      </c>
      <c r="F37" s="15" t="inlineStr">
        <is>
          <t>Marketing Ad Hoc</t>
        </is>
      </c>
      <c r="G37" s="16" t="inlineStr">
        <is>
          <t>marketing-analytics@databricks.example</t>
        </is>
      </c>
      <c r="H37" s="14" t="inlineStr">
        <is>
          <t>EPOCH-A418A413C4F8F62F08F2D451</t>
        </is>
      </c>
      <c r="I37" s="18" t="inlineStr">
        <is>
          <t>max_clusters</t>
        </is>
      </c>
      <c r="J37" s="18" t="inlineStr">
        <is>
          <t>ACTIONABLE</t>
        </is>
      </c>
      <c r="K37" s="15" t="inlineStr">
        <is>
          <t>COST_GUARDRAIL</t>
        </is>
      </c>
      <c r="L37" s="15" t="n">
        <v>3</v>
      </c>
      <c r="M37" s="15" t="n">
        <v>2</v>
      </c>
      <c r="N37" s="15" t="inlineStr">
        <is>
          <t>The configured ceiling has not been used and queue pressure is low; tighten the guardrail without claiming direct savings.</t>
        </is>
      </c>
      <c r="O37" s="21" t="n">
        <v>0.93</v>
      </c>
      <c r="P37" s="18" t="inlineStr">
        <is>
          <t>HIGH</t>
        </is>
      </c>
      <c r="Q37" s="18" t="b">
        <v>1</v>
      </c>
      <c r="R37" s="16" t="inlineStr">
        <is>
          <t>USD</t>
        </is>
      </c>
      <c r="S37" s="18" t="inlineStr">
        <is>
          <t>NO_CHANGE</t>
        </is>
      </c>
      <c r="T37" s="19" t="n">
        <v>14500</v>
      </c>
      <c r="U37" s="19" t="n">
        <v>6659.65</v>
      </c>
      <c r="V37" s="19" t="n">
        <v>21159.65</v>
      </c>
      <c r="W37" s="19" t="n">
        <v>0</v>
      </c>
      <c r="X37" s="19" t="n">
        <v>0</v>
      </c>
      <c r="Y37" s="19" t="n">
        <v>0</v>
      </c>
      <c r="Z37" s="19" t="n">
        <v>0</v>
      </c>
      <c r="AA37" s="19" t="n">
        <v>0</v>
      </c>
      <c r="AB37" s="19" t="n">
        <v>0</v>
      </c>
      <c r="AC37" s="19" t="n">
        <v>0</v>
      </c>
      <c r="AD37" s="19" t="n">
        <v>0</v>
      </c>
      <c r="AE37" s="19" t="n">
        <v>0</v>
      </c>
      <c r="AF37" s="19" t="n">
        <v>21159.65</v>
      </c>
      <c r="AG37" s="19" t="n">
        <v>21159.65</v>
      </c>
      <c r="AH37" s="19" t="n">
        <v>21159.65</v>
      </c>
      <c r="AI37" s="18" t="b">
        <v>0</v>
      </c>
      <c r="AJ37" s="18" t="inlineStr">
        <is>
          <t>NOT_APPLIED</t>
        </is>
      </c>
      <c r="AK37" s="16" t="inlineStr">
        <is>
          <t>—</t>
        </is>
      </c>
      <c r="AL37" s="18" t="inlineStr">
        <is>
          <t>—</t>
        </is>
      </c>
      <c r="AM37" s="19" t="inlineStr">
        <is>
          <t>UNAVAILABLE</t>
        </is>
      </c>
      <c r="AN37" s="19" t="inlineStr">
        <is>
          <t>UNAVAILABLE</t>
        </is>
      </c>
      <c r="AO37" s="19" t="inlineStr">
        <is>
          <t>UNAVAILABLE</t>
        </is>
      </c>
      <c r="AP37" s="19" t="inlineStr">
        <is>
          <t>UNAVAILABLE</t>
        </is>
      </c>
      <c r="AQ37" s="18" t="inlineStr">
        <is>
          <t>—</t>
        </is>
      </c>
      <c r="AR37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37" s="22" t="inlineStr">
        <is>
          <t>{"coverage":1.0,"epoch_maturity":1.0,"sample":1.0,"signal":1.0,"stability":0.91}</t>
        </is>
      </c>
      <c r="AT37" s="22" t="inlineStr">
        <is>
          <t>["EVID-71FFD313D781A7EB30D0E021","EVID-0FB34E16D22C0DC5D9782A12","EVID-03C8B5312C5FE9830BDCFF27","EVID-B5C6E9BC8D6DB4E66C7DEC14","EVID-AC454960F83731A41C18B2E6","EVID-F8B206CAB99AC6B2BBEEEB53","EVID-6A828E733BFBF0C431954454","EVID-683B1AE13834CF7A72976437","EVID-79E52EE17204D63C325353E3","EVID-338FBC5F582A0343A81D5D35"]</t>
        </is>
      </c>
      <c r="AU37" s="22" t="inlineStr">
        <is>
          <t>{"EVID-03C8B5312C5FE9830BDCFF27":{"comparator":"&lt;= reduce-safe","epoch_scope":"CURRENT","evidence_id":"EVID-03C8B5312C5FE9830BDCFF27","interpretation":"Fraction of running time at configured maximum.","metric":"time_at_max_pct","observation_window":"current epoch","source":"system.compute.warehouse_events","source_field":"cluster_count","threshold":1.0,"unit":"%","value":0.0},"EVID-0FB34E16D22C0DC5D9782A12":{"comparator":"","epoch_scope":"CURRENT","evidence_id":"EVID-0FB34E16D22C0DC5D9782A12","interpretation":"Highest observed scale level.","metric":"max_observed_clusters","observation_window":"current epoch","source":"system.compute.warehouse_events","source_field":"cluster_count","threshold":null,"unit":"clusters","value":1},"EVID-338FBC5F582A0343A81D5D35":{"comparator":"","epoch_scope":"CURRENT","evidence_id":"EVID-338FBC5F582A0343A81D5D35","interpretation":"Calendar-day coverage available to the forward cost model.","metric":"cost_history_days","observation_window":"current_epoch","source":"system.billing.usage","source_field":"usage_date","threshold":null,"unit":"days","value":228},"EVID-683B1AE13834CF7A72976437":{"comparator":"","epoch_scope":"CURRENT","evidence_id":"EVID-683B1AE13834CF7A72976437","interpretation":"No-change forward DBU cost forecast anchored to the current configuration epoch.","metric":"forward_dbu_cost_365d","observation_window":"forward_365d","source":"derived","source_field":"epoch-runrate-v2.7","threshold":null,"unit":"USD","value":14500.0},"EVID-6A828E733BFBF0C431954454":{"comparator":"","epoch_scope":"CURRENT","evidence_id":"EVID-6A828E733BFBF0C431954454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price","threshold":null,"unit":"USD","value":12760.0},"EVID-71FFD313D781A7EB30D0E021":{"comparator":"","epoch_scope":"CURRENT","evidence_id":"EVID-71FFD313D781A7EB30D0E021","interpretation":"Configured concurrency ceiling.","metric":"max_clusters","observation_window":"current epoch","source":"system.compute.warehouses","source_field":"max_clusters","threshold":null,"unit":"value","value":3},"EVID-79E52EE17204D63C325353E3":{"comparator":"","epoch_scope":"CURRENT","evidence_id":"EVID-79E52EE17204D63C325353E3","interpretation":"Forward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unavailable.","metric":"forward_aws_cost_365d","observation_window":"forward_365d","source":"derived","source_field":"aws_current_epoch_cost_model","threshold":null,"unit":"USD","value":6659.65},"EVID-AC454960F83731A41C18B2E6":{"comparator":"&gt;= evidence minimum for increase","epoch_scope":"CURRENT","evidence_id":"EVID-AC454960F83731A41C18B2E6","interpretation":"Queries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epoch","source":"system.query.history","source_field":"waiting_at_capacity_duration_ms","threshold":20,"unit":"queries","value":0},"EVID-B5C6E9BC8D6DB4E66C7DEC14":{"comparator":"&gt;= increase signal","epoch_scope":"CURRENT","evidence_id":"EVID-B5C6E9BC8D6DB4E66C7DEC14","interpretation":"Frequency of capacity queueing.","metric":"queued_query_pct_30","observation_window":"last 30 days within current epoch","source":"system.query.history","source_field":"waiting_at_capacity_duration_ms","threshold":5.0,"unit":"%","value":0.0},"EVID-F8B206CAB99AC6B2BBEEEB53":{"comparator":"&gt;= increase signal","epoch_scope":"CURRENT","evidence_id":"EVID-F8B206CAB99AC6B2BBEEEB53","interpretation":"Severity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epoch","source":"system.query.history","source_field":"waiting_at_capacity_duration_ms","threshold":30000,"unit":"ms","value":0}}</t>
        </is>
      </c>
      <c r="AV37" s="22" t="inlineStr">
        <is>
          <t>[{"comparator":"&lt;= reduce-safe","evidence_id":"EVID-03C8B5312C5FE9830BDCFF27","metric":"time_at_max_pct","threshold":1.0},{"comparator":"&gt;= increase signal","evidence_id":"EVID-B5C6E9BC8D6DB4E66C7DEC14","metric":"queued_query_pct_30","threshold":5.0},{"comparator":"&gt;= evidence minimum for increase","evidence_id":"EVID-AC454960F83731A41C18B2E6","metric":"queued_queries_30","threshold":20},{"comparator":"&gt;= increase signal","evidence_id":"EVID-F8B206CAB99AC6B2BBEEEB53","metric":"p95_wait_capacity_ms_when_queued_30","threshold":30000}]</t>
        </is>
      </c>
      <c r="AW37" s="22" t="inlineStr">
        <is>
          <t>[{"condition":null,"dependency_type":"KNOB","ref_id":"warehouse_size"}]</t>
        </is>
      </c>
      <c r="AX37" s="22" t="inlineStr">
        <is>
          <t>["min_clusters"]</t>
        </is>
      </c>
      <c r="AY37" s="22" t="inlineStr">
        <is>
          <t>[]</t>
        </is>
      </c>
      <c r="AZ37" s="22" t="inlineStr">
        <is>
          <t>[{"execution_state":"PENDING_REEVALUATION","scenario_id":"SCN-D7CBE49F5C50DE0E816A9CD2","scenario_name":"Plan A — Optimize current warehouse type","step":2}]</t>
        </is>
      </c>
      <c r="BA37" s="22" t="inlineStr">
        <is>
          <t>[]</t>
        </is>
      </c>
    </row>
    <row r="38" ht="32" customHeight="1">
      <c r="A38" s="14" t="inlineStr">
        <is>
          <t>PKG-1B297C98438DC42F237017DA</t>
        </is>
      </c>
      <c r="B38" s="14" t="inlineStr">
        <is>
          <t>CAND-1D1B4EC16ED60AB22768C5E8</t>
        </is>
      </c>
      <c r="C38" s="14" t="inlineStr">
        <is>
          <t>WH-MIN-CLUSTER-ASSESS-001</t>
        </is>
      </c>
      <c r="D38" s="14" t="inlineStr">
        <is>
          <t>1234567890123456</t>
        </is>
      </c>
      <c r="E38" s="14" t="inlineStr">
        <is>
          <t>wh-synth-003</t>
        </is>
      </c>
      <c r="F38" s="15" t="inlineStr">
        <is>
          <t>Marketing Ad Hoc</t>
        </is>
      </c>
      <c r="G38" s="16" t="inlineStr">
        <is>
          <t>marketing-analytics@databricks.example</t>
        </is>
      </c>
      <c r="H38" s="14" t="inlineStr">
        <is>
          <t>EPOCH-A418A413C4F8F62F08F2D451</t>
        </is>
      </c>
      <c r="I38" s="18" t="inlineStr">
        <is>
          <t>min_clusters</t>
        </is>
      </c>
      <c r="J38" s="18" t="inlineStr">
        <is>
          <t>NO_CHANGE</t>
        </is>
      </c>
      <c r="K38" s="15" t="inlineStr">
        <is>
          <t>COST</t>
        </is>
      </c>
      <c r="L38" s="15" t="n">
        <v>1</v>
      </c>
      <c r="M38" s="15" t="n">
        <v>1</v>
      </c>
      <c r="N38" s="15" t="inlineStr">
        <is>
          <t>Minimum is already 1.</t>
        </is>
      </c>
      <c r="O38" s="21" t="n">
        <v>0.8</v>
      </c>
      <c r="P38" s="18" t="inlineStr">
        <is>
          <t>HIGH</t>
        </is>
      </c>
      <c r="Q38" s="18" t="b">
        <v>1</v>
      </c>
      <c r="R38" s="16" t="inlineStr">
        <is>
          <t>USD</t>
        </is>
      </c>
      <c r="S38" s="18" t="inlineStr">
        <is>
          <t>NO_CHANGE</t>
        </is>
      </c>
      <c r="T38" s="19" t="n">
        <v>14500</v>
      </c>
      <c r="U38" s="19" t="n">
        <v>6659.65</v>
      </c>
      <c r="V38" s="19" t="n">
        <v>21159.65</v>
      </c>
      <c r="W38" s="19" t="n">
        <v>0</v>
      </c>
      <c r="X38" s="19" t="n">
        <v>0</v>
      </c>
      <c r="Y38" s="19" t="n">
        <v>0</v>
      </c>
      <c r="Z38" s="19" t="n">
        <v>0</v>
      </c>
      <c r="AA38" s="19" t="n">
        <v>0</v>
      </c>
      <c r="AB38" s="19" t="n">
        <v>0</v>
      </c>
      <c r="AC38" s="19" t="n">
        <v>0</v>
      </c>
      <c r="AD38" s="19" t="n">
        <v>0</v>
      </c>
      <c r="AE38" s="19" t="n">
        <v>0</v>
      </c>
      <c r="AF38" s="19" t="n">
        <v>21159.65</v>
      </c>
      <c r="AG38" s="19" t="n">
        <v>21159.65</v>
      </c>
      <c r="AH38" s="19" t="n">
        <v>21159.65</v>
      </c>
      <c r="AI38" s="18" t="b">
        <v>0</v>
      </c>
      <c r="AJ38" s="18" t="inlineStr">
        <is>
          <t>NOT_APPLIED</t>
        </is>
      </c>
      <c r="AK38" s="16" t="inlineStr">
        <is>
          <t>—</t>
        </is>
      </c>
      <c r="AL38" s="18" t="inlineStr">
        <is>
          <t>—</t>
        </is>
      </c>
      <c r="AM38" s="19" t="inlineStr">
        <is>
          <t>UNAVAILABLE</t>
        </is>
      </c>
      <c r="AN38" s="19" t="inlineStr">
        <is>
          <t>UNAVAILABLE</t>
        </is>
      </c>
      <c r="AO38" s="19" t="inlineStr">
        <is>
          <t>UNAVAILABLE</t>
        </is>
      </c>
      <c r="AP38" s="19" t="inlineStr">
        <is>
          <t>UNAVAILABLE</t>
        </is>
      </c>
      <c r="AQ38" s="18" t="inlineStr">
        <is>
          <t>—</t>
        </is>
      </c>
      <c r="AR38" s="15" t="inlineStr">
        <is>
          <t>time_at_min_pct &gt;= reduction signal 25.0; queued_query_pct_30 &lt;= safe 0.5; p95_wait_capacity_ms_when_queued_30 &lt;= safe 5000; time_at_max_pct &gt;= blocker 20.0</t>
        </is>
      </c>
      <c r="AS38" s="22" t="inlineStr">
        <is>
          <t>{"coverage":1.0,"epoch_maturity":1.0,"sample":1.0,"signal":0.7,"stability":0.91}</t>
        </is>
      </c>
      <c r="AT38" s="22" t="inlineStr">
        <is>
          <t>["EVID-C0E81BB6EA014B400613A97D","EVID-D9C2F551D19A9FB621D5851F","EVID-24B0F4C844E49CC0BBF290ED","EVID-D563A904AF61289F7E0D5BFE","EVID-6CDFF811B60AA588BA20E158","EVID-6A828E733BFBF0C431954454","EVID-683B1AE13834CF7A72976437","EVID-79E52EE17204D63C325353E3","EVID-338FBC5F582A0343A81D5D35"]</t>
        </is>
      </c>
      <c r="AU38" s="22" t="inlineStr">
        <is>
          <t>{"EVID-24B0F4C844E49CC0BBF290ED":{"comparator":"&lt;= safe","epoch_scope":"CURRENT","evidence_id":"EVID-24B0F4C844E49CC0BBF290ED","interpretation":"Queue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epoch","source":"system.query.history","source_field":"waiting_at_capacity_duration_ms","threshold":0.5,"unit":"%","value":0.0},"EVID-338FBC5F582A0343A81D5D35":{"comparator":"","epoch_scope":"CURRENT","evidence_id":"EVID-338FBC5F582A0343A81D5D35","interpretation":"Calendar-day coverage available to the forward cost model.","metric":"cost_history_days","observation_window":"current_epoch","source":"system.billing.usage","source_field":"usage_date","threshold":null,"unit":"days","value":228},"EVID-683B1AE13834CF7A72976437":{"comparator":"","epoch_scope":"CURRENT","evidence_id":"EVID-683B1AE13834CF7A72976437","interpretation":"No-change forward DBU cost forecast anchored to the current configuration epoch.","metric":"forward_dbu_cost_365d","observation_window":"forward_365d","source":"derived","source_field":"epoch-runrate-v2.7","threshold":null,"unit":"USD","value":14500.0},"EVID-6A828E733BFBF0C431954454":{"comparator":"","epoch_scope":"CURRENT","evidence_id":"EVID-6A828E733BFBF0C431954454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price","threshold":null,"unit":"USD","value":12760.0},"EVID-6CDFF811B60AA588BA20E158":{"comparator":"&gt;= blocker","epoch_scope":"CURRENT","evidence_id":"EVID-6CDFF811B60AA588BA20E158","interpretation":"Sustained scale pressure blocks minimum reduction.","metric":"time_at_max_pct","observation_window":"current epoch","source":"system.compute.warehouse_events","source_field":"cluster_count","threshold":20.0,"unit":"%","value":0.0},"EVID-79E52EE17204D63C325353E3":{"comparator":"","epoch_scope":"CURRENT","evidence_id":"EVID-79E52EE17204D63C325353E3","interpretation":"Forward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6659.65},"EVID-C0E81BB6EA014B400613A97D":{"comparator":"","epoch_scope":"CURRENT","evidence_id":"EVID-C0E81BB6EA014B400613A97D","interpretation":"Configured minimum scale.","metric":"min_clusters","observation_window":"current epoch","source":"system.compute.warehouses","source_field":"min_clusters","threshold":null,"unit":"value","value":1},"EVID-D563A904AF61289F7E0D5BFE":{"comparator":"&lt;= safe","epoch_scope":"CURRENT","evidence_id":"EVID-D563A904AF61289F7E0D5BFE","interpretation":"Queue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epoch","source":"system.query.history","source_field":"waiting_at_capacity_duration_ms","threshold":5000,"unit":"ms","value":0},"EVID-D9C2F551D19A9FB621D5851F":{"comparator":"&gt;= reduction signal","epoch_scope":"CURRENT","evidence_id":"EVID-D9C2F551D19A9FB621D5851F","interpretation":"How often the warehouse sits at its minimum.","metric":"time_at_min_pct","observation_window":"current epoch","source":"system.compute.warehouse_events","source_field":"cluster_count","threshold":25.0,"unit":"%","value":55.0}}</t>
        </is>
      </c>
      <c r="AV38" s="22" t="inlineStr">
        <is>
          <t>[{"comparator":"&gt;= reduction signal","evidence_id":"EVID-D9C2F551D19A9FB621D5851F","metric":"time_at_min_pct","threshold":25.0},{"comparator":"&lt;= safe","evidence_id":"EVID-24B0F4C844E49CC0BBF290ED","metric":"queued_query_pct_30","threshold":0.5},{"comparator":"&lt;= safe","evidence_id":"EVID-D563A904AF61289F7E0D5BFE","metric":"p95_wait_capacity_ms_when_queued_30","threshold":5000},{"comparator":"&gt;= blocker","evidence_id":"EVID-6CDFF811B60AA588BA20E158","metric":"time_at_max_pct","threshold":20.0}]</t>
        </is>
      </c>
      <c r="AW38" s="22" t="inlineStr">
        <is>
          <t>[{"condition":null,"dependency_type":"KNOB","ref_id":"warehouse_size"},{"condition":null,"dependency_type":"KNOB","ref_id":"max_clusters"}]</t>
        </is>
      </c>
      <c r="AX38" s="22" t="inlineStr">
        <is>
          <t>[]</t>
        </is>
      </c>
      <c r="AY38" s="22" t="inlineStr">
        <is>
          <t>[]</t>
        </is>
      </c>
      <c r="AZ38" s="22" t="inlineStr">
        <is>
          <t>[]</t>
        </is>
      </c>
      <c r="BA38" s="22" t="inlineStr">
        <is>
          <t>[]</t>
        </is>
      </c>
    </row>
    <row r="39" ht="32" customHeight="1">
      <c r="A39" s="14" t="inlineStr">
        <is>
          <t>PKG-1B297C98438DC42F237017DA</t>
        </is>
      </c>
      <c r="B39" s="14" t="inlineStr">
        <is>
          <t>CAND-2B65CE34434D627E7C4E7D0B</t>
        </is>
      </c>
      <c r="C39" s="14" t="inlineStr">
        <is>
          <t>WH-AUTOSTOP-REDUCE-001</t>
        </is>
      </c>
      <c r="D39" s="14" t="inlineStr">
        <is>
          <t>1234567890123456</t>
        </is>
      </c>
      <c r="E39" s="14" t="inlineStr">
        <is>
          <t>wh-synth-003</t>
        </is>
      </c>
      <c r="F39" s="15" t="inlineStr">
        <is>
          <t>Marketing Ad Hoc</t>
        </is>
      </c>
      <c r="G39" s="16" t="inlineStr">
        <is>
          <t>marketing-analytics@databricks.example</t>
        </is>
      </c>
      <c r="H39" s="14" t="inlineStr">
        <is>
          <t>EPOCH-A418A413C4F8F62F08F2D451</t>
        </is>
      </c>
      <c r="I39" s="18" t="inlineStr">
        <is>
          <t>auto_stop_minutes</t>
        </is>
      </c>
      <c r="J39" s="18" t="inlineStr">
        <is>
          <t>ACTIONABLE</t>
        </is>
      </c>
      <c r="K39" s="15" t="inlineStr">
        <is>
          <t>COST</t>
        </is>
      </c>
      <c r="L39" s="15" t="n">
        <v>120</v>
      </c>
      <c r="M39" s="15" t="n">
        <v>15</v>
      </c>
      <c r="N39" s="15" t="inlineStr">
        <is>
          <t>Idle-gap evidence supports a lower auto-stop target.</t>
        </is>
      </c>
      <c r="O39" s="21" t="n">
        <v>0.93</v>
      </c>
      <c r="P39" s="18" t="inlineStr">
        <is>
          <t>HIGH</t>
        </is>
      </c>
      <c r="Q39" s="18" t="b">
        <v>1</v>
      </c>
      <c r="R39" s="16" t="inlineStr">
        <is>
          <t>USD</t>
        </is>
      </c>
      <c r="S39" s="18" t="inlineStr">
        <is>
          <t>SAVINGS</t>
        </is>
      </c>
      <c r="T39" s="19" t="n">
        <v>14500</v>
      </c>
      <c r="U39" s="19" t="n">
        <v>6659.65</v>
      </c>
      <c r="V39" s="19" t="n">
        <v>21159.65</v>
      </c>
      <c r="W39" s="19" t="n">
        <v>3668.5</v>
      </c>
      <c r="X39" s="19" t="n">
        <v>5502.75</v>
      </c>
      <c r="Y39" s="19" t="n">
        <v>7337</v>
      </c>
      <c r="Z39" s="19" t="n">
        <v>1684.89</v>
      </c>
      <c r="AA39" s="19" t="n">
        <v>2527.34</v>
      </c>
      <c r="AB39" s="19" t="n">
        <v>3369.78</v>
      </c>
      <c r="AC39" s="19" t="n">
        <v>5353.39</v>
      </c>
      <c r="AD39" s="19" t="n">
        <v>8030.09</v>
      </c>
      <c r="AE39" s="19" t="n">
        <v>10706.78</v>
      </c>
      <c r="AF39" s="19" t="n">
        <v>10452.87</v>
      </c>
      <c r="AG39" s="19" t="n">
        <v>13129.56</v>
      </c>
      <c r="AH39" s="19" t="n">
        <v>15806.26</v>
      </c>
      <c r="AI39" s="18" t="b">
        <v>0</v>
      </c>
      <c r="AJ39" s="18" t="inlineStr">
        <is>
          <t>NOT_APPLIED</t>
        </is>
      </c>
      <c r="AK39" s="16" t="inlineStr">
        <is>
          <t>—</t>
        </is>
      </c>
      <c r="AL39" s="18" t="inlineStr">
        <is>
          <t>—</t>
        </is>
      </c>
      <c r="AM39" s="19" t="inlineStr">
        <is>
          <t>UNAVAILABLE</t>
        </is>
      </c>
      <c r="AN39" s="19" t="inlineStr">
        <is>
          <t>UNAVAILABLE</t>
        </is>
      </c>
      <c r="AO39" s="19" t="inlineStr">
        <is>
          <t>UNAVAILABLE</t>
        </is>
      </c>
      <c r="AP39" s="19" t="inlineStr">
        <is>
          <t>UNAVAILABLE</t>
        </is>
      </c>
      <c r="AQ39" s="18" t="inlineStr">
        <is>
          <t>—</t>
        </is>
      </c>
      <c r="AR39" s="15" t="inlineStr">
        <is>
          <t>auto_stop_minutes &gt; target 15; idle_gap_count &gt;= evidence minimum 30; cluster_minutes &gt;= evidence minimum 1.0; p95_wait_compute_ms_when_waited_30 &gt;= cold-start blocker 60000; starts_per_active_day_30 &gt;= cold-start blocker 0.5</t>
        </is>
      </c>
      <c r="AS39" s="22" t="inlineStr">
        <is>
          <t>{"coverage":1.0,"epoch_maturity":1.0,"sample":1.0,"signal":1.0,"stability":0.91}</t>
        </is>
      </c>
      <c r="AT39" s="22" t="inlineStr">
        <is>
          <t>["EVID-A3B4AC4B648CA9BA139F8C4F","EVID-238156F042195E83CB1D7BFD","EVID-11AF4398307CE0F6B2C95839","EVID-A0D653C7E7295C8A6FCCA24B","EVID-A8EFF5F2B461614CF5DBAA12","EVID-12922A19AF92CAB3AA9714DD","EVID-5BAB9AE2F58AF32F2026C26F","EVID-4DBA88B2BC78EFFDE0289BF2","EVID-6A828E733BFBF0C431954454","EVID-683B1AE13834CF7A72976437","EVID-79E52EE17204D63C325353E3","EVID-338FBC5F582A0343A81D5D35"]</t>
        </is>
      </c>
      <c r="AU39" s="22" t="inlineStr">
        <is>
          <t>{"EVID-11AF4398307CE0F6B2C95839":{"comparator":"&gt;= evidence minimum","epoch_scope":"CURRENT","evidence_id":"EVID-11AF4398307CE0F6B2C95839","interpretation":"Non-overlapping inter-query gap sample supporting the auto-stop counterfactual.","metric":"idle_gap_count","observation_window":"current epoch","source":"system.query.history","source_field":"start_time/end_time","threshold":30,"unit":"gaps","value":36},"EVID-12922A19AF92CAB3AA9714DD":{"comparator":"&gt;= cold-start blocker","epoch_scope":"CURRENT","evidence_id":"EVID-12922A19AF92CAB3AA9714DD","interpretation":"Cold-start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epoch","source":"system.query.history","source_field":"waiting_for_compute_duration_ms","threshold":60000,"unit":"ms","value":3500},"EVID-238156F042195E83CB1D7BFD":{"comparator":"","epoch_scope":"CURRENT","evidence_id":"EVID-238156F042195E83CB1D7BFD","interpretation":"Activity density selects the auto-stop target.","metric":"queries_per_active_day_30","observation_window":"last 30 days within current epoch","source":"system.query.history","source_field":"start_time","threshold":null,"unit":"queries/day","value":30.0},"EVID-338FBC5F582A0343A81D5D35":{"comparator":"","epoch_scope":"CURRENT","evidence_id":"EVID-338FBC5F582A0343A81D5D35","interpretation":"Calendar-day coverage available to the forward cost model.","metric":"cost_history_days","observation_window":"current_epoch","source":"system.billing.usage","source_field":"usage_date","threshold":null,"unit":"days","value":228},"EVID-4DBA88B2BC78EFFDE0289BF2":{"comparator":"","epoch_scope":"CURRENT","evidence_id":"EVID-4DBA88B2BC78EFFDE0289BF2","interpretation":"Estimated additional off-time at the candidate target.","metric":"estimated_additional_off_minutes","observation_window":"current epoch","source":"system.query.history","source_field":"inter-query gap","threshold":null,"unit":"minutes","value":10120.0},"EVID-5BAB9AE2F58AF32F2026C26F":{"comparator":"&gt;= cold-start blocker","epoch_scope":"CURRENT","evidence_id":"EVID-5BAB9AE2F58AF32F2026C26F","interpretation":"Restart frequency guardrail.","metric":"starts_per_active_day_30","observation_window":"last 30 days within current epoch","source":"system.compute.warehouse_events","source_field":"event_type=STARTING","threshold":0.5,"unit":"starts/day","value":0.1667},"EVID-683B1AE13834CF7A72976437":{"comparator":"","epoch_scope":"CURRENT","evidence_id":"EVID-683B1AE13834CF7A72976437","interpretation":"No-change forward DBU cost forecast anchored to the current configuration epoch.","metric":"forward_dbu_cost_365d","observation_window":"forward_365d","source":"derived","source_field":"epoch-runrate-v2.7","threshold":null,"unit":"USD","value":14500.0},"EVID-6A828E733BFBF0C431954454":{"comparator":"","epoch_scope":"CURRENT","evidence_id":"EVID-6A828E733BFBF0C431954454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price","threshold":null,"unit":"USD","value":12760.0},"EVID-79E52EE17204D63C325353E3":{"comparator":"","epoch_scope":"CURRENT","evidence_id":"EVID-79E52EE17204D63C325353E3","interpretation":"Forward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unavailable.","metric":"forward_aws_cost_365d","observation_window":"forward_365d","source":"derived","source_field":"aws_current_epoch_cost_model","threshold":null,"unit":"USD","value":6659.65},"EVID-A0D653C7E7295C8A6FCCA24B":{"comparator":"&gt;= evidence minimum","epoch_scope":"CURRENT","evidence_id":"EVID-A0D653C7E7295C8A6FCCA24B","interpretation":"Observed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epoch","source":"system.compute.warehouse_events","source_field":"cluster_count/event_time","threshold":1.0,"unit":"cluster-minutes","value":20000.0},"EVID-A3B4AC4B648CA9BA139F8C4F":{"comparator":"&gt; target","epoch_scope":"CURRENT","evidence_id":"EVID-A3B4AC4B648CA9BA139F8C4F","interpretation":"Current idle termination setting versus deterministic policy target.","metric":"auto_stop_minutes","observation_window":"current epoch","source":"system.compute.warehouses","source_field":"auto_stop_minutes","threshold":15,"unit":"minutes","value":120},"EVID-A8EFF5F2B461614CF5DBAA12":{"comparator":"","epoch_scope":"CURRENT","evidence_id":"EVID-A8EFF5F2B461614CF5DBAA12","interpretation":"Queries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epoch","source":"system.query.history","source_field":"waiting_for_compute_duration_ms","threshold":null,"unit":"queries","value":5}}</t>
        </is>
      </c>
      <c r="AV39" s="22" t="inlineStr">
        <is>
          <t>[{"comparator":"&gt; target","evidence_id":"EVID-A3B4AC4B648CA9BA139F8C4F","metric":"auto_stop_minutes","threshold":15},{"comparator":"&gt;= evidence minimum","evidence_id":"EVID-11AF4398307CE0F6B2C95839","metric":"idle_gap_count","threshold":30},{"comparator":"&gt;= evidence minimum","evidence_id":"EVID-A0D653C7E7295C8A6FCCA24B","metric":"cluster_minutes","threshold":1.0},{"comparator":"&gt;= cold-start blocker","evidence_id":"EVID-12922A19AF92CAB3AA9714DD","metric":"p95_wait_compute_ms_when_waited_30","threshold":60000},{"comparator":"&gt;= cold-start blocker","evidence_id":"EVID-5BAB9AE2F58AF32F2026C26F","metric":"starts_per_active_day_30","threshold":0.5}]</t>
        </is>
      </c>
      <c r="AW39" s="22" t="inlineStr">
        <is>
          <t>[{"condition":null,"dependency_type":"KNOB","ref_id":"min_clusters"}]</t>
        </is>
      </c>
      <c r="AX39" s="22" t="inlineStr">
        <is>
          <t>[]</t>
        </is>
      </c>
      <c r="AY39" s="22" t="inlineStr">
        <is>
          <t>[]</t>
        </is>
      </c>
      <c r="AZ39" s="22" t="inlineStr">
        <is>
          <t>[{"execution_state":"PENDING_REEVALUATION","scenario_id":"SCN-D7CBE49F5C50DE0E816A9CD2","scenario_name":"Plan A — Optimize current warehouse type","step":3}]</t>
        </is>
      </c>
      <c r="BA39" s="22" t="inlineStr">
        <is>
          <t>[]</t>
        </is>
      </c>
    </row>
    <row r="40" ht="32" customHeight="1">
      <c r="A40" s="14" t="inlineStr">
        <is>
          <t>PKG-1B297C98438DC42F237017DA</t>
        </is>
      </c>
      <c r="B40" s="14" t="inlineStr">
        <is>
          <t>CAND-5D8E6A15050D0BC21F82DB67</t>
        </is>
      </c>
      <c r="C40" s="14" t="inlineStr">
        <is>
          <t>WH-SERVERLESS-MIGRATE-001</t>
        </is>
      </c>
      <c r="D40" s="14" t="inlineStr">
        <is>
          <t>1234567890123456</t>
        </is>
      </c>
      <c r="E40" s="14" t="inlineStr">
        <is>
          <t>wh-synth-003</t>
        </is>
      </c>
      <c r="F40" s="15" t="inlineStr">
        <is>
          <t>Marketing Ad Hoc</t>
        </is>
      </c>
      <c r="G40" s="16" t="inlineStr">
        <is>
          <t>marketing-analytics@databricks.example</t>
        </is>
      </c>
      <c r="H40" s="14" t="inlineStr">
        <is>
          <t>EPOCH-A418A413C4F8F62F08F2D451</t>
        </is>
      </c>
      <c r="I40" s="18" t="inlineStr">
        <is>
          <t>warehouse_type</t>
        </is>
      </c>
      <c r="J40" s="18" t="inlineStr">
        <is>
          <t>TEST_REQUIRED</t>
        </is>
      </c>
      <c r="K40" s="15" t="inlineStr">
        <is>
          <t>MIGRATION, COST_AND_PERFORMANCE, OPERATIONS</t>
        </is>
      </c>
      <c r="L40" s="15" t="inlineStr">
        <is>
          <t>PRO</t>
        </is>
      </c>
      <c r="M40" s="15" t="inlineStr">
        <is>
          <t>SERVERLESS</t>
        </is>
      </c>
      <c r="N40" s="15" t="inlineStr">
        <is>
          <t>Serverless is evaluated as a separate migration experiment with a pre-canary DBU/AWS counterfactual and deterministic compatibility gate.</t>
        </is>
      </c>
      <c r="O40" s="21" t="n">
        <v>0.78</v>
      </c>
      <c r="P40" s="18" t="inlineStr">
        <is>
          <t>MEDIUM</t>
        </is>
      </c>
      <c r="Q40" s="18" t="b">
        <v>1</v>
      </c>
      <c r="R40" s="16" t="inlineStr">
        <is>
          <t>USD</t>
        </is>
      </c>
      <c r="S40" s="18" t="inlineStr">
        <is>
          <t>SAVINGS</t>
        </is>
      </c>
      <c r="T40" s="19" t="n">
        <v>14500</v>
      </c>
      <c r="U40" s="19" t="n">
        <v>6659.65</v>
      </c>
      <c r="V40" s="19" t="n">
        <v>21159.65</v>
      </c>
      <c r="W40" s="19" t="n">
        <v>-441.52</v>
      </c>
      <c r="X40" s="19" t="n">
        <v>-441.52</v>
      </c>
      <c r="Y40" s="19" t="n">
        <v>-441.52</v>
      </c>
      <c r="Z40" s="19" t="n">
        <v>6659.65</v>
      </c>
      <c r="AA40" s="19" t="n">
        <v>6659.65</v>
      </c>
      <c r="AB40" s="19" t="n">
        <v>6659.65</v>
      </c>
      <c r="AC40" s="19" t="n">
        <v>6218.13</v>
      </c>
      <c r="AD40" s="19" t="n">
        <v>6218.13</v>
      </c>
      <c r="AE40" s="19" t="n">
        <v>6218.13</v>
      </c>
      <c r="AF40" s="19" t="n">
        <v>14941.52</v>
      </c>
      <c r="AG40" s="19" t="n">
        <v>14941.52</v>
      </c>
      <c r="AH40" s="19" t="n">
        <v>14941.52</v>
      </c>
      <c r="AI40" s="18" t="b">
        <v>0</v>
      </c>
      <c r="AJ40" s="18" t="inlineStr">
        <is>
          <t>NOT_APPLIED</t>
        </is>
      </c>
      <c r="AK40" s="16" t="inlineStr">
        <is>
          <t>—</t>
        </is>
      </c>
      <c r="AL40" s="18" t="inlineStr">
        <is>
          <t>—</t>
        </is>
      </c>
      <c r="AM40" s="19" t="inlineStr">
        <is>
          <t>UNAVAILABLE</t>
        </is>
      </c>
      <c r="AN40" s="19" t="inlineStr">
        <is>
          <t>UNAVAILABLE</t>
        </is>
      </c>
      <c r="AO40" s="19" t="inlineStr">
        <is>
          <t>UNAVAILABLE</t>
        </is>
      </c>
      <c r="AP40" s="19" t="inlineStr">
        <is>
          <t>UNAVAILABLE</t>
        </is>
      </c>
      <c r="AQ40" s="18" t="inlineStr">
        <is>
          <t>—</t>
        </is>
      </c>
      <c r="AR40" s="15" t="inlineStr">
        <is>
          <t>No numeric threshold</t>
        </is>
      </c>
      <c r="AS40" s="22" t="inlineStr">
        <is>
          <t>{"coverage":1.0,"epoch_maturity":1.0,"sample":1.0,"signal":1.0,"stability":0.91}</t>
        </is>
      </c>
      <c r="AT40" s="22" t="inlineStr">
        <is>
          <t>["EVID-9C0887EA9BBD5DE729F8D5C2","EVID-C3766CBA9521FE51088A3D5D","EVID-5F2D4AB39AABF5BAADEEEC14","EVID-12B133BC158CB307238E760D","EVID-D828BA2B7CE2902D2014DD21","EVID-FCE8F183005B58ACEF7C85B4","EVID-7A0828DFF3D741851110137B","EVID-84E8ACC912EFD5A45DC90F5F","EVID-4E3B3CFBE454C52D06E172D9","EVID-496E780302F53950272CD89F","EVID-573AE828EB0C16FFBDF39D89","EVID-E22A43BF0CCBA0DC7437C8CC","EVID-7C48F59A969F6B4129C6A6F7","EVID-6A828E733BFBF0C431954454","EVID-683B1AE13834CF7A72976437","EVID-79E52EE17204D63C325353E3","EVID-338FBC5F582A0343A81D5D35"]</t>
        </is>
      </c>
      <c r="AU40" s="22" t="inlineStr">
        <is>
          <t>{"EVID-12B133BC158CB307238E760D":{"comparator":"","epoch_scope":"CURRENT","evidence_id":"EVID-12B133BC158CB307238E760D","interpretation":"Dashboard workload mix context.","metric":"dashboard_queries_30","observation_window":"last 30 days within current epoch","source":"system.query.history","source_field":"query_source.dashboard_id","threshold":null,"unit":"queries","value":0},"EVID-338FBC5F582A0343A81D5D35":{"comparator":"","epoch_scope":"CURRENT","evidence_id":"EVID-338FBC5F582A0343A81D5D35","interpretation":"Calendar-day coverage available to the forward cost model.","metric":"cost_history_days","observation_window":"current_epoch","source":"system.billing.usage","source_field":"usage_date","threshold":null,"unit":"days","value":228},"EVID-496E780302F53950272CD89F":{"comparator":"","epoch_scope":"CURRENT","evidence_id":"EVID-496E780302F53950272CD89F","interpretation":"Power BI client workload mix context.","metric":"power_bi_queries_30","observation_window":"last 30 days within current epoch","source":"system.query.history","source_field":"client_application","threshold":null,"unit":"queries","value":0},"EVID-4E3B3CFBE454C52D06E172D9":{"comparator":"","epoch_scope":"CURRENT","evidence_id":"EVID-4E3B3CFBE454C52D06E172D9","interpretation":"Databricks SQL editor/query workload mix context.","metric":"sql_editor_queries_30","observation_window":"last 30 days within current epoch","source":"system.query.history","source_field":"query_source.sql_query_id","threshold":null,"unit":"queries","value":72},"EVID-573AE828EB0C16FFBDF39D89":{"comparator":"","epoch_scope":"CURRENT","evidence_id":"EVID-573AE828EB0C16FFBDF39D89","interpretation":"Tableau client workload mix context.","metric":"tableau_queries_30","observation_window":"last 30 days within current epoch","source":"system.query.history","source_field":"client_application","threshold":null,"unit":"queries","value":0},"EVID-5F2D4AB39AABF5BAADEEEC14":{"comparator":"","epoch_scope":"CURRENT","evidence_id":"EVID-5F2D4AB39AABF5BAADEEEC14","interpretation":"Query-tag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epoch","source":"system.query.history","source_field":"query_tags","threshold":null,"unit":"%","value":70.0},"EVID-683B1AE13834CF7A72976437":{"comparator":"","epoch_scope":"CURRENT","evidence_id":"EVID-683B1AE13834CF7A72976437","interpretation":"No-change forward DBU cost forecast anchored to the current configuration epoch.","metric":"forward_dbu_cost_365d","observation_window":"forward_365d","source":"derived","source_field":"epoch-runrate-v2.7","threshold":null,"unit":"USD","value":14500.0},"EVID-6A828E733BFBF0C431954454":{"comparator":"","epoch_scope":"CURRENT","evidence_id":"EVID-6A828E733BFBF0C431954454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price","threshold":null,"unit":"USD","value":12760.0},"EVID-79E52EE17204D63C325353E3":{"comparator":"","epoch_scope":"CURRENT","evidence_id":"EVID-79E52EE17204D63C325353E3","interpretation":"Forward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6659.65},"EVID-7A0828DFF3D741851110137B":{"comparator":"","epoch_scope":"CURRENT","evidence_id":"EVID-7A0828DFF3D741851110137B","interpretation":"Genie workload mix context.","metric":"genie_queries_30","observation_window":"last 30 days within current epoch","source":"system.query.history","source_field":"query_source.genie_space_id","threshold":null,"unit":"queries","value":0},"EVID-7C48F59A969F6B4129C6A6F7":{"comparator":"","epoch_scope":"CURRENT","evidence_id":"EVID-7C48F59A969F6B4129C6A6F7","interpretation":"Potential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only)","threshold":null,"unit":"queries","value":0},"EVID-84E8ACC912EFD5A45DC90F5F":{"comparator":"","epoch_scope":"CURRENT","evidence_id":"EVID-84E8ACC912EFD5A45DC90F5F","interpretation":"Alert workload mix context.","metric":"alert_queries_30","observation_window":"last 30 days within current epoch","source":"system.query.history","source_field":"query_source.alert_id","threshold":null,"unit":"queries","value":0},"EVID-9C0887EA9BBD5DE729F8D5C2":{"comparator":"","epoch_scope":"CURRENT","evidence_id":"EVID-9C0887EA9BBD5DE729F8D5C2","interpretation":"Current warehouse type.","metric":"warehouse_type","observation_window":"current epoch","source":"system.compute.warehouses","source_field":"warehouse_type","threshold":null,"unit":"value","value":"PRO"},"EVID-C3766CBA9521FE51088A3D5D":{"comparator":"","epoch_scope":"CURRENT","evidence_id":"EVID-C3766CBA9521FE51088A3D5D","interpretation":"Observed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days","source":"system.billing.usage","source_field":"product_features.is_serverless","threshold":null,"unit":"%","value":0.0},"EVID-D828BA2B7CE2902D2014DD21":{"comparator":"","epoch_scope":"CURRENT","evidence_id":"EVID-D828BA2B7CE2902D2014DD21","interpretation":"Job workload mix context.","metric":"job_queries_30","observation_window":"last 30 days within current epoch","source":"system.query.history","source_field":"query_source.job_info.job_id","threshold":null,"unit":"queries","value":0},"EVID-E22A43BF0CCBA0DC7437C8CC":{"comparator":"","epoch_scope":"CURRENT","evidence_id":"EVID-E22A43BF0CCBA0DC7437C8CC","interpretation":"Coverage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epoch","source":"system.query.history","source_field":"statement_text","threshold":null,"unit":"%","value":100.0},"EVID-FCE8F183005B58ACEF7C85B4":{"comparator":"","epoch_scope":"CURRENT","evidence_id":"EVID-FCE8F183005B58ACEF7C85B4","interpretation":"Notebook workload mix context.","metric":"notebook_queries_30","observation_window":"last 30 days within current epoch","source":"system.query.history","source_field":"query_source.notebook_id","threshold":null,"unit":"queries","value":675}}</t>
        </is>
      </c>
      <c r="AV40" s="22" t="inlineStr">
        <is>
          <t>[]</t>
        </is>
      </c>
      <c r="AW40" s="22" t="inlineStr">
        <is>
          <t>[]</t>
        </is>
      </c>
      <c r="AX40" s="22" t="inlineStr">
        <is>
          <t>["warehouse_size","max_clusters","min_clusters","auto_stop_minutes"]</t>
        </is>
      </c>
      <c r="AY40" s="22" t="inlineStr">
        <is>
          <t>["A_B_COST_PERFORMANCE_VALIDATION_REQUIRED"]</t>
        </is>
      </c>
      <c r="AZ40" s="22" t="inlineStr">
        <is>
          <t>[{"execution_state":"READY_FOR_CANARY","scenario_id":"SCN-509F0B84125F5B7EFD41B34F","scenario_name":"Plan B — Serverless migration experiment","step":2}]</t>
        </is>
      </c>
      <c r="BA40" s="22" t="inlineStr">
        <is>
          <t>[]</t>
        </is>
      </c>
    </row>
    <row r="41" ht="32" customHeight="1">
      <c r="A41" s="14" t="inlineStr">
        <is>
          <t>PKG-174715E982DCBFB8A89E70C3</t>
        </is>
      </c>
      <c r="B41" s="14" t="inlineStr">
        <is>
          <t>CAND-BE64253C1F5541854D9D5F73</t>
        </is>
      </c>
      <c r="C41" s="14" t="inlineStr">
        <is>
          <t>WH-CHANNEL-CURRENT-001</t>
        </is>
      </c>
      <c r="D41" s="14" t="inlineStr">
        <is>
          <t>1234567890123456</t>
        </is>
      </c>
      <c r="E41" s="14" t="inlineStr">
        <is>
          <t>wh-synth-007</t>
        </is>
      </c>
      <c r="F41" s="15" t="inlineStr">
        <is>
          <t>New Product Launch</t>
        </is>
      </c>
      <c r="G41" s="16" t="inlineStr">
        <is>
          <t>product-analytics@databricks.example</t>
        </is>
      </c>
      <c r="H41" s="14" t="inlineStr">
        <is>
          <t>EPOCH-A8B2A2BBEFFB9B9040B37D98</t>
        </is>
      </c>
      <c r="I41" s="18" t="inlineStr">
        <is>
          <t>warehouse_channel</t>
        </is>
      </c>
      <c r="J41" s="18" t="inlineStr">
        <is>
          <t>NO_CHANGE</t>
        </is>
      </c>
      <c r="K41" s="15" t="inlineStr">
        <is>
          <t>STABILITY</t>
        </is>
      </c>
      <c r="L41" s="15" t="inlineStr">
        <is>
          <t>CURRENT</t>
        </is>
      </c>
      <c r="M41" s="15" t="inlineStr">
        <is>
          <t>CURRENT</t>
        </is>
      </c>
      <c r="N41" s="15" t="inlineStr">
        <is>
          <t>No channel change indicated.</t>
        </is>
      </c>
      <c r="O41" s="21" t="n">
        <v>0.58</v>
      </c>
      <c r="P41" s="18" t="inlineStr">
        <is>
          <t>LOW</t>
        </is>
      </c>
      <c r="Q41" s="18" t="b">
        <v>1</v>
      </c>
      <c r="R41" s="16" t="inlineStr">
        <is>
          <t>USD</t>
        </is>
      </c>
      <c r="S41" s="18" t="inlineStr">
        <is>
          <t>NO_CHANGE</t>
        </is>
      </c>
      <c r="T41" s="19" t="n">
        <v>12000</v>
      </c>
      <c r="U41" s="19" t="n">
        <v>151840</v>
      </c>
      <c r="V41" s="19" t="n">
        <v>163840</v>
      </c>
      <c r="W41" s="19" t="n">
        <v>0</v>
      </c>
      <c r="X41" s="19" t="n">
        <v>0</v>
      </c>
      <c r="Y41" s="19" t="n">
        <v>0</v>
      </c>
      <c r="Z41" s="19" t="n">
        <v>0</v>
      </c>
      <c r="AA41" s="19" t="n">
        <v>0</v>
      </c>
      <c r="AB41" s="19" t="n">
        <v>0</v>
      </c>
      <c r="AC41" s="19" t="n">
        <v>0</v>
      </c>
      <c r="AD41" s="19" t="n">
        <v>0</v>
      </c>
      <c r="AE41" s="19" t="n">
        <v>0</v>
      </c>
      <c r="AF41" s="19" t="n">
        <v>163840</v>
      </c>
      <c r="AG41" s="19" t="n">
        <v>163840</v>
      </c>
      <c r="AH41" s="19" t="n">
        <v>163840</v>
      </c>
      <c r="AI41" s="18" t="b">
        <v>0</v>
      </c>
      <c r="AJ41" s="18" t="inlineStr">
        <is>
          <t>NOT_APPLIED</t>
        </is>
      </c>
      <c r="AK41" s="16" t="inlineStr">
        <is>
          <t>—</t>
        </is>
      </c>
      <c r="AL41" s="18" t="inlineStr">
        <is>
          <t>—</t>
        </is>
      </c>
      <c r="AM41" s="19" t="inlineStr">
        <is>
          <t>UNAVAILABLE</t>
        </is>
      </c>
      <c r="AN41" s="19" t="inlineStr">
        <is>
          <t>UNAVAILABLE</t>
        </is>
      </c>
      <c r="AO41" s="19" t="inlineStr">
        <is>
          <t>UNAVAILABLE</t>
        </is>
      </c>
      <c r="AP41" s="19" t="inlineStr">
        <is>
          <t>UNAVAILABLE</t>
        </is>
      </c>
      <c r="AQ41" s="18" t="inlineStr">
        <is>
          <t>—</t>
        </is>
      </c>
      <c r="AR41" s="15" t="inlineStr">
        <is>
          <t>No numeric threshold</t>
        </is>
      </c>
      <c r="AS41" s="22" t="inlineStr">
        <is>
          <t>{"coverage":0.033,"epoch_maturity":0.1,"sample":1.0,"signal":0.7,"stability":0.91}</t>
        </is>
      </c>
      <c r="AT41" s="22" t="inlineStr">
        <is>
          <t>["EVID-0C9E319B71D62381F589D216","EVID-D6B273BC561A1E053AB22E8C","EVID-ECEA4B5972B35E88B483B834","EVID-755CFD7941CE94A93847E0B3","EVID-11DE4B9E2CE51DBAE4B4614C"]</t>
        </is>
      </c>
      <c r="AU41" s="22" t="inlineStr">
        <is>
          <t>{"EVID-0C9E319B71D62381F589D216":{"comparator":"","epoch_scope":"CURRENT","evidence_id":"EVID-0C9E319B71D62381F589D216","interpretation":"Current release channel from the current configuration epoch.","metric":"warehouse_channel","observation_window":"current epoch","source":"system.compute.warehouses","source_field":"warehouse_channel","threshold":null,"unit":"value","value":"CURRENT"},"EVID-11DE4B9E2CE51DBAE4B4614C":{"comparator":"","epoch_scope":"CURRENT","evidence_id":"EVID-11DE4B9E2CE51DBAE4B4614C","interpretation":"Calendar-day coverage available to the forward cost model.","metric":"cost_history_days","observation_window":"current_epoch","source":"system.billing.usage","source_field":"usage_date","threshold":null,"unit":"days","value":3},"EVID-755CFD7941CE94A93847E0B3":{"comparator":"","epoch_scope":"CURRENT","evidence_id":"EVID-755CFD7941CE94A93847E0B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151840.0},"EVID-D6B273BC561A1E053AB22E8C":{"comparator":"","epoch_scope":"CURRENT","evidence_id":"EVID-D6B273BC561A1E053AB22E8C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price","threshold":null,"unit":"USD","value":10560.0},"EVID-ECEA4B5972B35E88B483B834":{"comparator":"","epoch_scope":"CURRENT","evidence_id":"EVID-ECEA4B5972B35E88B483B834","interpretation":"No-change forward DBU cost forecast anchored to the current configuration epoch.","metric":"forward_dbu_cost_365d","observation_window":"forward_365d","source":"derived","source_field":"epoch-runrate-v2.7","threshold":null,"unit":"USD","value":12000.0}}</t>
        </is>
      </c>
      <c r="AV41" s="22" t="inlineStr">
        <is>
          <t>[]</t>
        </is>
      </c>
      <c r="AW41" s="22" t="inlineStr">
        <is>
          <t>[]</t>
        </is>
      </c>
      <c r="AX41" s="22" t="inlineStr">
        <is>
          <t>[]</t>
        </is>
      </c>
      <c r="AY41" s="22" t="inlineStr">
        <is>
          <t>[]</t>
        </is>
      </c>
      <c r="AZ41" s="22" t="inlineStr">
        <is>
          <t>[]</t>
        </is>
      </c>
      <c r="BA41" s="22" t="inlineStr">
        <is>
          <t>[]</t>
        </is>
      </c>
    </row>
    <row r="42" ht="32" customHeight="1">
      <c r="A42" s="14" t="inlineStr">
        <is>
          <t>PKG-174715E982DCBFB8A89E70C3</t>
        </is>
      </c>
      <c r="B42" s="14" t="inlineStr">
        <is>
          <t>CAND-D5D6479CF95BC13FC20D6F5F</t>
        </is>
      </c>
      <c r="C42" s="14" t="inlineStr">
        <is>
          <t>WH-SIZE-RIGHTSIZE-001</t>
        </is>
      </c>
      <c r="D42" s="14" t="inlineStr">
        <is>
          <t>1234567890123456</t>
        </is>
      </c>
      <c r="E42" s="14" t="inlineStr">
        <is>
          <t>wh-synth-007</t>
        </is>
      </c>
      <c r="F42" s="15" t="inlineStr">
        <is>
          <t>New Product Launch</t>
        </is>
      </c>
      <c r="G42" s="16" t="inlineStr">
        <is>
          <t>product-analytics@databricks.example</t>
        </is>
      </c>
      <c r="H42" s="14" t="inlineStr">
        <is>
          <t>EPOCH-A8B2A2BBEFFB9B9040B37D98</t>
        </is>
      </c>
      <c r="I42" s="18" t="inlineStr">
        <is>
          <t>warehouse_size</t>
        </is>
      </c>
      <c r="J42" s="18" t="inlineStr">
        <is>
          <t>NO_CHANGE</t>
        </is>
      </c>
      <c r="K42" s="15" t="inlineStr">
        <is>
          <t>COST_AND_PERFORMANCE</t>
        </is>
      </c>
      <c r="L42" s="15" t="inlineStr">
        <is>
          <t>SMALL</t>
        </is>
      </c>
      <c r="M42" s="15" t="inlineStr">
        <is>
          <t>SMALL</t>
        </is>
      </c>
      <c r="N42" s="15" t="inlineStr">
        <is>
          <t>No deterministic upsize signal and downsize safety criteria are not all satisfied.</t>
        </is>
      </c>
      <c r="O42" s="21" t="n">
        <v>0.58</v>
      </c>
      <c r="P42" s="18" t="inlineStr">
        <is>
          <t>LOW</t>
        </is>
      </c>
      <c r="Q42" s="18" t="b">
        <v>1</v>
      </c>
      <c r="R42" s="16" t="inlineStr">
        <is>
          <t>USD</t>
        </is>
      </c>
      <c r="S42" s="18" t="inlineStr">
        <is>
          <t>UNAVAILABLE</t>
        </is>
      </c>
      <c r="T42" s="19" t="n">
        <v>12000</v>
      </c>
      <c r="U42" s="19" t="n">
        <v>151840</v>
      </c>
      <c r="V42" s="19" t="n">
        <v>163840</v>
      </c>
      <c r="W42" s="19" t="n">
        <v>0</v>
      </c>
      <c r="X42" s="19" t="n">
        <v>0</v>
      </c>
      <c r="Y42" s="19" t="n">
        <v>0</v>
      </c>
      <c r="Z42" s="19" t="inlineStr">
        <is>
          <t>UNAVAILABLE</t>
        </is>
      </c>
      <c r="AA42" s="19" t="inlineStr">
        <is>
          <t>UNAVAILABLE</t>
        </is>
      </c>
      <c r="AB42" s="19" t="inlineStr">
        <is>
          <t>UNAVAILABLE</t>
        </is>
      </c>
      <c r="AC42" s="19" t="inlineStr">
        <is>
          <t>UNAVAILABLE</t>
        </is>
      </c>
      <c r="AD42" s="19" t="inlineStr">
        <is>
          <t>UNAVAILABLE</t>
        </is>
      </c>
      <c r="AE42" s="19" t="inlineStr">
        <is>
          <t>UNAVAILABLE</t>
        </is>
      </c>
      <c r="AF42" s="19" t="inlineStr">
        <is>
          <t>UNAVAILABLE</t>
        </is>
      </c>
      <c r="AG42" s="19" t="inlineStr">
        <is>
          <t>UNAVAILABLE</t>
        </is>
      </c>
      <c r="AH42" s="19" t="inlineStr">
        <is>
          <t>UNAVAILABLE</t>
        </is>
      </c>
      <c r="AI42" s="18" t="b">
        <v>0</v>
      </c>
      <c r="AJ42" s="18" t="inlineStr">
        <is>
          <t>NOT_APPLIED</t>
        </is>
      </c>
      <c r="AK42" s="16" t="inlineStr">
        <is>
          <t>—</t>
        </is>
      </c>
      <c r="AL42" s="18" t="inlineStr">
        <is>
          <t>—</t>
        </is>
      </c>
      <c r="AM42" s="19" t="inlineStr">
        <is>
          <t>UNAVAILABLE</t>
        </is>
      </c>
      <c r="AN42" s="19" t="inlineStr">
        <is>
          <t>UNAVAILABLE</t>
        </is>
      </c>
      <c r="AO42" s="19" t="inlineStr">
        <is>
          <t>UNAVAILABLE</t>
        </is>
      </c>
      <c r="AP42" s="19" t="inlineStr">
        <is>
          <t>UNAVAILABLE</t>
        </is>
      </c>
      <c r="AQ42" s="18" t="inlineStr">
        <is>
          <t>—</t>
        </is>
      </c>
      <c r="AR42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42" s="22" t="inlineStr">
        <is>
          <t>{"coverage":0.033,"epoch_maturity":0.1,"sample":1.0,"signal":0.7,"stability":0.91}</t>
        </is>
      </c>
      <c r="AT42" s="22" t="inlineStr">
        <is>
          <t>["EVID-6F2210B4A714E07FF2B336E5","EVID-2ADB478E1643572CD5941C8A","EVID-07150EBD7C85821371FC5C6D","EVID-2452143F8B9B2CED497389CF","EVID-1C88354197DE4989BF278EC4","EVID-935962377953AEF38189FA9F","EVID-CF2C3BD20C77D10B63ED3718","EVID-38E12A59BDB085C9ED17E3D5","EVID-D6B273BC561A1E053AB22E8C","EVID-ECEA4B5972B35E88B483B834","EVID-755CFD7941CE94A93847E0B3","EVID-11DE4B9E2CE51DBAE4B4614C"]</t>
        </is>
      </c>
      <c r="AU42" s="22" t="inlineStr">
        <is>
          <t>{"EVID-07150EBD7C85821371FC5C6D":{"comparator":"&gt;= evidence minimum for upsize","epoch_scope":"CURRENT","evidence_id":"EVID-07150EBD7C85821371FC5C6D","interpretation":"Queries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epoch","source":"system.query.history","source_field":"spilled_local_bytes","threshold":20,"unit":"queries","value":0},"EVID-11DE4B9E2CE51DBAE4B4614C":{"comparator":"","epoch_scope":"CURRENT","evidence_id":"EVID-11DE4B9E2CE51DBAE4B4614C","interpretation":"Calendar-day coverage available to the forward cost model.","metric":"cost_history_days","observation_window":"current_epoch","source":"system.billing.usage","source_field":"usage_date","threshold":null,"unit":"days","value":3},"EVID-1C88354197DE4989BF278EC4":{"comparator":"&lt;= downsize-safe","epoch_scope":"CURRENT","evidence_id":"EVID-1C88354197DE4989BF278EC4","interpretation":"Concurrency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epoch","source":"system.query.history","source_field":"waiting_at_capacity_duration_ms","threshold":0.5,"unit":"%","value":0.0},"EVID-2452143F8B9B2CED497389CF":{"comparator":"&gt;= upsize signal","epoch_scope":"CURRENT","evidence_id":"EVID-2452143F8B9B2CED497389CF","interpretation":"Severity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epoch","source":"system.query.history","source_field":"spilled_local_bytes","threshold":1073741824,"unit":"bytes","value":0},"EVID-2ADB478E1643572CD5941C8A":{"comparator":"&gt;= upsize signal","epoch_scope":"CURRENT","evidence_id":"EVID-2ADB478E1643572CD5941C8A","interpretation":"Frequency of queries spilling to local storage.","metric":"spill_query_pct_30","observation_window":"last 30 days within current epoch","source":"system.query.history","source_field":"spilled_local_bytes","threshold":2.0,"unit":"%","value":0.0},"EVID-38E12A59BDB085C9ED17E3D5":{"comparator":"","epoch_scope":"CURRENT","evidence_id":"EVID-38E12A59BDB085C9ED17E3D5","interpretation":"I/O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epoch","source":"system.query.history","source_field":"read_io_cache_percent","threshold":null,"unit":"%","value":35.0},"EVID-6F2210B4A714E07FF2B336E5":{"comparator":"","epoch_scope":"CURRENT","evidence_id":"EVID-6F2210B4A714E07FF2B336E5","interpretation":"Current warehouse size.","metric":"warehouse_size","observation_window":"current epoch","source":"system.compute.warehouses","source_field":"warehouse_size","threshold":null,"unit":"value","value":"SMALL"},"EVID-755CFD7941CE94A93847E0B3":{"comparator":"","epoch_scope":"CURRENT","evidence_id":"EVID-755CFD7941CE94A93847E0B3","interpretation":"Forward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unavailable.","metric":"forward_aws_cost_365d","observation_window":"forward_365d","source":"derived","source_field":"aws_current_epoch_cost_model","threshold":null,"unit":"USD","value":151840.0},"EVID-935962377953AEF38189FA9F":{"comparator":"&lt;= downsize-safe","epoch_scope":"CURRENT","evidence_id":"EVID-935962377953AEF38189FA9F","interpretation":"Tail execution latency guardrail.","metric":"p95_execution_ms_30","observation_window":"last 30 days within current epoch","source":"system.query.history","source_field":"execution_duration_ms","threshold":5000,"unit":"ms","value":2400},"EVID-CF2C3BD20C77D10B63ED3718":{"comparator":"&lt;= downsize-safe","epoch_scope":"CURRENT","evidence_id":"EVID-CF2C3BD20C77D10B63ED3718","interpretation":"Extreme tail execution latency guardrail.","metric":"p99_execution_ms_30","observation_window":"last 30 days within current epoch","source":"system.query.history","source_field":"execution_duration_ms","threshold":30000,"unit":"ms","value":8000},"EVID-D6B273BC561A1E053AB22E8C":{"comparator":"","epoch_scope":"CURRENT","evidence_id":"EVID-D6B273BC561A1E053AB22E8C","interpretation":"Observed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price","threshold":null,"unit":"USD","value":10560.0},"EVID-ECEA4B5972B35E88B483B834":{"comparator":"","epoch_scope":"CURRENT","evidence_id":"EVID-ECEA4B5972B35E88B483B834","interpretation":"No-change forward DBU cost forecast anchored to the current configuration epoch.","metric":"forward_dbu_cost_365d","observation_window":"forward_365d","source":"derived","source_field":"epoch-runrate-v2.7","threshold":null,"unit":"USD","value":12000.0}}</t>
        </is>
      </c>
      <c r="AV42" s="22" t="inlineStr">
        <is>
          <t>[{"comparator":"&gt;= upsize signal","evidence_id":"EVID-2ADB478E1643572CD5941C8A","metric":"spill_query_pct_30","threshold":2.0},{"comparator":"&gt;= evidence minimum for upsize","evidence_id":"EVID-07150EBD7C85821371FC5C6D","metric":"spill_queries_30","threshold":20},{"comparator":"&gt;= upsize signal","evidence_id":"EVID-2452143F8B9B2CED497389CF","metric":"p95_spill_bytes_when_spilled_30","threshold":1073741824},{"comparator":"&lt;= downsize-safe","evidence_id":"EVID-1C88354197DE4989BF278EC4","metric":"queued_query_pct_30","threshold":0.5},{"comparator":"&lt;= downsize-safe","evidence_id":"EVID-935962377953AEF38189FA9F","metric":"p95_execution_ms_30","threshold":5000},{"comparator":"&lt;= downsize-safe","evidence_id":"EVID-CF2C3BD20C77D10B63ED3718","metric":"p99_execution_ms_30","threshold":30000}]</t>
        </is>
      </c>
      <c r="AW42" s="22" t="inlineStr">
        <is>
          <t>[{"condition":null,"dependency_type":"KNOB","ref_id":"warehouse_channel"}]</t>
        </is>
      </c>
      <c r="AX42" s="22" t="inlineStr">
        <is>
          <t>[]</t>
        </is>
      </c>
      <c r="AY42" s="22" t="inlineStr">
        <is>
          <t>["CURRENT_CONFIG_EPOCH_TOO_NEW"]</t>
        </is>
      </c>
      <c r="AZ42" s="22" t="inlineStr">
        <is>
          <t>[]</t>
        </is>
      </c>
      <c r="BA42" s="22" t="inlineStr">
        <is>
          <t>[]</t>
        </is>
      </c>
    </row>
    <row r="43" ht="32" customHeight="1">
      <c r="A43" s="14" t="inlineStr">
        <is>
          <t>PKG-174715E982DCBFB8A89E70C3</t>
        </is>
      </c>
      <c r="B43" s="14" t="inlineStr">
        <is>
          <t>CAND-754355444A1A789B2EC1DC71</t>
        </is>
      </c>
      <c r="C43" s="14" t="inlineStr">
        <is>
          <t>WH-MAX-CLUSTER-ASSESS-001</t>
        </is>
      </c>
      <c r="D43" s="14" t="inlineStr">
        <is>
          <t>1234567890123456</t>
        </is>
      </c>
      <c r="E43" s="14" t="inlineStr">
        <is>
          <t>wh-synth-007</t>
        </is>
      </c>
      <c r="F43" s="15" t="inlineStr">
        <is>
          <t>New Product Launch</t>
        </is>
      </c>
      <c r="G43" s="16" t="inlineStr">
        <is>
          <t>product-analytics@databricks.example</t>
        </is>
      </c>
      <c r="H43" s="14" t="inlineStr">
        <is>
          <t>EPOCH-A8B2A2BBEFFB9B9040B37D98</t>
        </is>
      </c>
      <c r="I43" s="18" t="inlineStr">
        <is>
          <t>max_clusters</t>
        </is>
      </c>
      <c r="J43" s="18" t="inlineStr">
        <is>
          <t>NO_CHANGE</t>
        </is>
      </c>
      <c r="K43" s="15" t="inlineStr">
        <is>
          <t>PERFORMANCE</t>
        </is>
      </c>
      <c r="L43" s="15" t="n">
        <v>2</v>
      </c>
      <c r="M43" s="15" t="n">
        <v>2</v>
      </c>
      <c r="N43" s="15" t="inlineStr">
        <is>
          <t>No sustained saturation requiring an increase and no strong evidence for a lower ceiling.</t>
        </is>
      </c>
      <c r="O43" s="21" t="n">
        <v>0.58</v>
      </c>
      <c r="P43" s="18" t="inlineStr">
        <is>
          <t>LOW</t>
        </is>
      </c>
      <c r="Q43" s="18" t="b">
        <v>1</v>
      </c>
      <c r="R43" s="16" t="inlineStr">
        <is>
          <t>USD</t>
        </is>
      </c>
      <c r="S43" s="18" t="inlineStr">
        <is>
          <t>NO_CHANGE</t>
        </is>
      </c>
      <c r="T43" s="19" t="n">
        <v>12000</v>
      </c>
      <c r="U43" s="19" t="n">
        <v>151840</v>
      </c>
      <c r="V43" s="19" t="n">
        <v>163840</v>
      </c>
      <c r="W43" s="19" t="n">
        <v>0</v>
      </c>
      <c r="X43" s="19" t="n">
        <v>0</v>
      </c>
      <c r="Y43" s="19" t="n">
        <v>0</v>
      </c>
      <c r="Z43" s="19" t="n">
        <v>0</v>
      </c>
      <c r="AA43" s="19" t="n">
        <v>0</v>
      </c>
      <c r="AB43" s="19" t="n">
        <v>0</v>
      </c>
      <c r="AC43" s="19" t="n">
        <v>0</v>
      </c>
      <c r="AD43" s="19" t="n">
        <v>0</v>
      </c>
      <c r="AE43" s="19" t="n">
        <v>0</v>
      </c>
      <c r="AF43" s="19" t="n">
        <v>163840</v>
      </c>
      <c r="AG43" s="19" t="n">
        <v>163840</v>
      </c>
      <c r="AH43" s="19" t="n">
        <v>163840</v>
      </c>
      <c r="AI43" s="18" t="b">
        <v>0</v>
      </c>
      <c r="AJ43" s="18" t="inlineStr">
        <is>
          <t>NOT_APPLIED</t>
        </is>
      </c>
      <c r="AK43" s="16" t="inlineStr">
        <is>
          <t>—</t>
        </is>
      </c>
      <c r="AL43" s="18" t="inlineStr">
        <is>
          <t>—</t>
        </is>
      </c>
      <c r="AM43" s="19" t="inlineStr">
        <is>
          <t>UNAVAILABLE</t>
        </is>
      </c>
      <c r="AN43" s="19" t="inlineStr">
        <is>
          <t>UNAVAILABLE</t>
        </is>
      </c>
      <c r="AO43" s="19" t="inlineStr">
        <is>
          <t>UNAVAILABLE</t>
        </is>
      </c>
      <c r="AP43" s="19" t="inlineStr">
        <is>
          <t>UNAVAILABLE</t>
        </is>
      </c>
      <c r="AQ43" s="18" t="inlineStr">
        <is>
          <t>—</t>
        </is>
      </c>
      <c r="AR43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43" s="22" t="inlineStr">
        <is>
          <t>{"coverage":0.033,"epoch_maturity":0.1,"sample":1.0,"signal":0.7,"stability":0.91}</t>
        </is>
      </c>
      <c r="AT43" s="22" t="inlineStr">
        <is>
          <t>["EVID-D933EFAFAF243FC9D57DF4B1","EVID-81A9089491437728148A8B5A","EVID-21CA29942CA50C940F7D85F5","EVID-08183391992A779E604BF66F","EVID-DE3386120F2F186DF02F2001","EVID-EBCE9854B773D00DADF903B9","EVID-D6B273BC561A1E053AB22E8C","EVID-ECEA4B5972B35E88B483B834","EVID-755CFD7941CE94A93847E0B3","EVID-11DE4B9E2CE51DBAE4B4614C"]</t>
        </is>
      </c>
      <c r="AU43" s="22" t="inlineStr">
        <is>
          <t>{"EVID-08183391992A779E604BF66F":{"comparator":"&gt;= increase signal","epoch_scope":"CURRENT","evidence_id":"EVID-08183391992A779E604BF66F","interpretation":"Frequency of capacity queueing.","metric":"queued_query_pct_30","observation_window":"last 30 days within current epoch","source":"system.query.history","source_field":"waiting_at_capacity_duration_ms","threshold":5.0,"unit":"%","value":0.0},"EVID-11DE4B9E2CE51DBAE4B4614C":{"comparator":"","epoch_scope":"CURRENT","evidence_id":"EVID-11DE4B9E2CE51DBAE4B4614C","interpretation":"Calendar-day coverage available to the forward cost model.","metric":"cost_history_days","observation_window":"current_epoch","source":"system.billing.usage","source_field":"usage_date","threshold":null,"unit":"days","value":3},"EVID-21CA29942CA50C940F7D85F5":{"comparator":"&lt;= reduce-safe","epoch_scope":"CURRENT","evidence_id":"EVID-21CA29942CA50C940F7D85F5","interpretation":"Fraction of running time at configured maximum.","metric":"time_at_max_pct","observation_window":"current epoch","source":"system.compute.warehouse_events","source_field":"cluster_count","threshold":1.0,"unit":"%","value":0.0},"EVID-755CFD7941CE94A93847E0B3":{"comparator":"","epoch_scope":"CURRENT","evidence_id":"EVID-755CFD7941CE94A93847E0B3","interpretation":"Forward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151840.0},"EVID-81A9089491437728148A8B5A":{"comparator":"","epoch_scope":"CURRENT","evidence_id":"EVID-81A9089491437728148A8B5A","interpretation":"Highest observed scale level.","metric":"max_observed_clusters","observation_window":"current epoch","source":"system.compute.warehouse_events","source_field":"cluster_count","threshold":null,"unit":"clusters","value":1},"EVID-D6B273BC561A1E053AB22E8C":{"comparator":"","epoch_scope":"CURRENT","evidence_id":"EVID-D6B273BC561A1E053AB22E8C","interpretation":"Observed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price","threshold":null,"unit":"USD","value":10560.0},"EVID-D933EFAFAF243FC9D57DF4B1":{"comparator":"","epoch_scope":"CURRENT","evidence_id":"EVID-D933EFAFAF243FC9D57DF4B1","interpretation":"Configured concurrency ceiling.","metric":"max_clusters","observation_window":"current epoch","source":"system.compute.warehouses","source_field":"max_clusters","threshold":null,"unit":"value","value":2},"EVID-DE3386120F2F186DF02F2001":{"comparator":"&gt;= evidence minimum for increase","epoch_scope":"CURRENT","evidence_id":"EVID-DE3386120F2F186DF02F2001","interpretation":"Queries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epoch","source":"system.query.history","source_field":"waiting_at_capacity_duration_ms","threshold":20,"unit":"queries","value":0},"EVID-EBCE9854B773D00DADF903B9":{"comparator":"&gt;= increase signal","epoch_scope":"CURRENT","evidence_id":"EVID-EBCE9854B773D00DADF903B9","interpretation":"Severity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epoch","source":"system.query.history","source_field":"waiting_at_capacity_duration_ms","threshold":30000,"unit":"ms","value":0},"EVID-ECEA4B5972B35E88B483B834":{"comparator":"","epoch_scope":"CURRENT","evidence_id":"EVID-ECEA4B5972B35E88B483B834","interpretation":"No-change forward DBU cost forecast anchored to the current configuration epoch.","metric":"forward_dbu_cost_365d","observation_window":"forward_365d","source":"derived","source_field":"epoch-runrate-v2.7","threshold":null,"unit":"USD","value":12000.0}}</t>
        </is>
      </c>
      <c r="AV43" s="22" t="inlineStr">
        <is>
          <t>[{"comparator":"&lt;= reduce-safe","evidence_id":"EVID-21CA29942CA50C940F7D85F5","metric":"time_at_max_pct","threshold":1.0},{"comparator":"&gt;= increase signal","evidence_id":"EVID-08183391992A779E604BF66F","metric":"queued_query_pct_30","threshold":5.0},{"comparator":"&gt;= evidence minimum for increase","evidence_id":"EVID-DE3386120F2F186DF02F2001","metric":"queued_queries_30","threshold":20},{"comparator":"&gt;= increase signal","evidence_id":"EVID-EBCE9854B773D00DADF903B9","metric":"p95_wait_capacity_ms_when_queued_30","threshold":30000}]</t>
        </is>
      </c>
      <c r="AW43" s="22" t="inlineStr">
        <is>
          <t>[{"condition":null,"dependency_type":"KNOB","ref_id":"warehouse_size"}]</t>
        </is>
      </c>
      <c r="AX43" s="22" t="inlineStr">
        <is>
          <t>[]</t>
        </is>
      </c>
      <c r="AY43" s="22" t="inlineStr">
        <is>
          <t>[]</t>
        </is>
      </c>
      <c r="AZ43" s="22" t="inlineStr">
        <is>
          <t>[]</t>
        </is>
      </c>
      <c r="BA43" s="22" t="inlineStr">
        <is>
          <t>[]</t>
        </is>
      </c>
    </row>
    <row r="44" ht="32" customHeight="1">
      <c r="A44" s="14" t="inlineStr">
        <is>
          <t>PKG-174715E982DCBFB8A89E70C3</t>
        </is>
      </c>
      <c r="B44" s="14" t="inlineStr">
        <is>
          <t>CAND-B2C77C0E282E77BA3CA93FFD</t>
        </is>
      </c>
      <c r="C44" s="14" t="inlineStr">
        <is>
          <t>WH-MIN-CLUSTER-ASSESS-001</t>
        </is>
      </c>
      <c r="D44" s="14" t="inlineStr">
        <is>
          <t>1234567890123456</t>
        </is>
      </c>
      <c r="E44" s="14" t="inlineStr">
        <is>
          <t>wh-synth-007</t>
        </is>
      </c>
      <c r="F44" s="15" t="inlineStr">
        <is>
          <t>New Product Launch</t>
        </is>
      </c>
      <c r="G44" s="16" t="inlineStr">
        <is>
          <t>product-analytics@databricks.example</t>
        </is>
      </c>
      <c r="H44" s="14" t="inlineStr">
        <is>
          <t>EPOCH-A8B2A2BBEFFB9B9040B37D98</t>
        </is>
      </c>
      <c r="I44" s="18" t="inlineStr">
        <is>
          <t>min_clusters</t>
        </is>
      </c>
      <c r="J44" s="18" t="inlineStr">
        <is>
          <t>NO_CHANGE</t>
        </is>
      </c>
      <c r="K44" s="15" t="inlineStr">
        <is>
          <t>COST</t>
        </is>
      </c>
      <c r="L44" s="15" t="n">
        <v>1</v>
      </c>
      <c r="M44" s="15" t="n">
        <v>1</v>
      </c>
      <c r="N44" s="15" t="inlineStr">
        <is>
          <t>Minimum is already 1.</t>
        </is>
      </c>
      <c r="O44" s="21" t="n">
        <v>0.58</v>
      </c>
      <c r="P44" s="18" t="inlineStr">
        <is>
          <t>LOW</t>
        </is>
      </c>
      <c r="Q44" s="18" t="b">
        <v>1</v>
      </c>
      <c r="R44" s="16" t="inlineStr">
        <is>
          <t>USD</t>
        </is>
      </c>
      <c r="S44" s="18" t="inlineStr">
        <is>
          <t>NO_CHANGE</t>
        </is>
      </c>
      <c r="T44" s="19" t="n">
        <v>12000</v>
      </c>
      <c r="U44" s="19" t="n">
        <v>151840</v>
      </c>
      <c r="V44" s="19" t="n">
        <v>163840</v>
      </c>
      <c r="W44" s="19" t="n">
        <v>0</v>
      </c>
      <c r="X44" s="19" t="n">
        <v>0</v>
      </c>
      <c r="Y44" s="19" t="n">
        <v>0</v>
      </c>
      <c r="Z44" s="19" t="n">
        <v>0</v>
      </c>
      <c r="AA44" s="19" t="n">
        <v>0</v>
      </c>
      <c r="AB44" s="19" t="n">
        <v>0</v>
      </c>
      <c r="AC44" s="19" t="n">
        <v>0</v>
      </c>
      <c r="AD44" s="19" t="n">
        <v>0</v>
      </c>
      <c r="AE44" s="19" t="n">
        <v>0</v>
      </c>
      <c r="AF44" s="19" t="n">
        <v>163840</v>
      </c>
      <c r="AG44" s="19" t="n">
        <v>163840</v>
      </c>
      <c r="AH44" s="19" t="n">
        <v>163840</v>
      </c>
      <c r="AI44" s="18" t="b">
        <v>0</v>
      </c>
      <c r="AJ44" s="18" t="inlineStr">
        <is>
          <t>NOT_APPLIED</t>
        </is>
      </c>
      <c r="AK44" s="16" t="inlineStr">
        <is>
          <t>—</t>
        </is>
      </c>
      <c r="AL44" s="18" t="inlineStr">
        <is>
          <t>—</t>
        </is>
      </c>
      <c r="AM44" s="19" t="inlineStr">
        <is>
          <t>UNAVAILABLE</t>
        </is>
      </c>
      <c r="AN44" s="19" t="inlineStr">
        <is>
          <t>UNAVAILABLE</t>
        </is>
      </c>
      <c r="AO44" s="19" t="inlineStr">
        <is>
          <t>UNAVAILABLE</t>
        </is>
      </c>
      <c r="AP44" s="19" t="inlineStr">
        <is>
          <t>UNAVAILABLE</t>
        </is>
      </c>
      <c r="AQ44" s="18" t="inlineStr">
        <is>
          <t>—</t>
        </is>
      </c>
      <c r="AR44" s="15" t="inlineStr">
        <is>
          <t>time_at_min_pct &gt;= reduction signal 25.0; queued_query_pct_30 &lt;= safe 0.5; p95_wait_capacity_ms_when_queued_30 &lt;= safe 5000; time_at_max_pct &gt;= blocker 20.0</t>
        </is>
      </c>
      <c r="AS44" s="22" t="inlineStr">
        <is>
          <t>{"coverage":0.033,"epoch_maturity":0.1,"sample":1.0,"signal":0.7,"stability":0.91}</t>
        </is>
      </c>
      <c r="AT44" s="22" t="inlineStr">
        <is>
          <t>["EVID-BA5DFBF6A766BB887B518D2D","EVID-28CD210DF4ED6451A92DA63F","EVID-43CC9F6E44DCD88D951C6080","EVID-C1F4909D7B9F54E1D4FE0B08","EVID-C39DD2C1AB5242026F7CC137","EVID-D6B273BC561A1E053AB22E8C","EVID-ECEA4B5972B35E88B483B834","EVID-755CFD7941CE94A93847E0B3","EVID-11DE4B9E2CE51DBAE4B4614C"]</t>
        </is>
      </c>
      <c r="AU44" s="22" t="inlineStr">
        <is>
          <t>{"EVID-11DE4B9E2CE51DBAE4B4614C":{"comparator":"","epoch_scope":"CURRENT","evidence_id":"EVID-11DE4B9E2CE51DBAE4B4614C","interpretation":"Calendar-day coverage available to the forward cost model.","metric":"cost_history_days","observation_window":"current_epoch","source":"system.billing.usage","source_field":"usage_date","threshold":null,"unit":"days","value":3},"EVID-28CD210DF4ED6451A92DA63F":{"comparator":"&gt;= reduction signal","epoch_scope":"CURRENT","evidence_id":"EVID-28CD210DF4ED6451A92DA63F","interpretation":"How often the warehouse sits at its minimum.","metric":"time_at_min_pct","observation_window":"current epoch","source":"system.compute.warehouse_events","source_field":"cluster_count","threshold":25.0,"unit":"%","value":60.0},"EVID-43CC9F6E44DCD88D951C6080":{"comparator":"&lt;= safe","epoch_scope":"CURRENT","evidence_id":"EVID-43CC9F6E44DCD88D951C6080","interpretation":"Queue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epoch","source":"system.query.history","source_field":"waiting_at_capacity_duration_ms","threshold":0.5,"unit":"%","value":0.0},"EVID-755CFD7941CE94A93847E0B3":{"comparator":"","epoch_scope":"CURRENT","evidence_id":"EVID-755CFD7941CE94A93847E0B3","interpretation":"Forward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151840.0},"EVID-BA5DFBF6A766BB887B518D2D":{"comparator":"","epoch_scope":"CURRENT","evidence_id":"EVID-BA5DFBF6A766BB887B518D2D","interpretation":"Configured minimum scale.","metric":"min_clusters","observation_window":"current epoch","source":"system.compute.warehouses","source_field":"min_clusters","threshold":null,"unit":"value","value":1},"EVID-C1F4909D7B9F54E1D4FE0B08":{"comparator":"&lt;= safe","epoch_scope":"CURRENT","evidence_id":"EVID-C1F4909D7B9F54E1D4FE0B08","interpretation":"Queue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epoch","source":"system.query.history","source_field":"waiting_at_capacity_duration_ms","threshold":5000,"unit":"ms","value":0},"EVID-C39DD2C1AB5242026F7CC137":{"comparator":"&gt;= blocker","epoch_scope":"CURRENT","evidence_id":"EVID-C39DD2C1AB5242026F7CC137","interpretation":"Sustained scale pressure blocks minimum reduction.","metric":"time_at_max_pct","observation_window":"current epoch","source":"system.compute.warehouse_events","source_field":"cluster_count","threshold":20.0,"unit":"%","value":0.0},"EVID-D6B273BC561A1E053AB22E8C":{"comparator":"","epoch_scope":"CURRENT","evidence_id":"EVID-D6B273BC561A1E053AB22E8C","interpretation":"Observed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price","threshold":null,"unit":"USD","value":10560.0},"EVID-ECEA4B5972B35E88B483B834":{"comparator":"","epoch_scope":"CURRENT","evidence_id":"EVID-ECEA4B5972B35E88B483B834","interpretation":"No-change forward DBU cost forecast anchored to the current configuration epoch.","metric":"forward_dbu_cost_365d","observation_window":"forward_365d","source":"derived","source_field":"epoch-runrate-v2.7","threshold":null,"unit":"USD","value":12000.0}}</t>
        </is>
      </c>
      <c r="AV44" s="22" t="inlineStr">
        <is>
          <t>[{"comparator":"&gt;= reduction signal","evidence_id":"EVID-28CD210DF4ED6451A92DA63F","metric":"time_at_min_pct","threshold":25.0},{"comparator":"&lt;= safe","evidence_id":"EVID-43CC9F6E44DCD88D951C6080","metric":"queued_query_pct_30","threshold":0.5},{"comparator":"&lt;= safe","evidence_id":"EVID-C1F4909D7B9F54E1D4FE0B08","metric":"p95_wait_capacity_ms_when_queued_30","threshold":5000},{"comparator":"&gt;= blocker","evidence_id":"EVID-C39DD2C1AB5242026F7CC137","metric":"time_at_max_pct","threshold":20.0}]</t>
        </is>
      </c>
      <c r="AW44" s="22" t="inlineStr">
        <is>
          <t>[{"condition":null,"dependency_type":"KNOB","ref_id":"warehouse_size"},{"condition":null,"dependency_type":"KNOB","ref_id":"max_clusters"}]</t>
        </is>
      </c>
      <c r="AX44" s="22" t="inlineStr">
        <is>
          <t>[]</t>
        </is>
      </c>
      <c r="AY44" s="22" t="inlineStr">
        <is>
          <t>[]</t>
        </is>
      </c>
      <c r="AZ44" s="22" t="inlineStr">
        <is>
          <t>[]</t>
        </is>
      </c>
      <c r="BA44" s="22" t="inlineStr">
        <is>
          <t>[]</t>
        </is>
      </c>
    </row>
    <row r="45" ht="32" customHeight="1">
      <c r="A45" s="14" t="inlineStr">
        <is>
          <t>PKG-174715E982DCBFB8A89E70C3</t>
        </is>
      </c>
      <c r="B45" s="14" t="inlineStr">
        <is>
          <t>CAND-05ECA8EB06C456A0556818F8</t>
        </is>
      </c>
      <c r="C45" s="14" t="inlineStr">
        <is>
          <t>WH-AUTOSTOP-REDUCE-001</t>
        </is>
      </c>
      <c r="D45" s="14" t="inlineStr">
        <is>
          <t>1234567890123456</t>
        </is>
      </c>
      <c r="E45" s="14" t="inlineStr">
        <is>
          <t>wh-synth-007</t>
        </is>
      </c>
      <c r="F45" s="15" t="inlineStr">
        <is>
          <t>New Product Launch</t>
        </is>
      </c>
      <c r="G45" s="16" t="inlineStr">
        <is>
          <t>product-analytics@databricks.example</t>
        </is>
      </c>
      <c r="H45" s="14" t="inlineStr">
        <is>
          <t>EPOCH-A8B2A2BBEFFB9B9040B37D98</t>
        </is>
      </c>
      <c r="I45" s="18" t="inlineStr">
        <is>
          <t>auto_stop_minutes</t>
        </is>
      </c>
      <c r="J45" s="18" t="inlineStr">
        <is>
          <t>BLOCKED</t>
        </is>
      </c>
      <c r="K45" s="15" t="inlineStr">
        <is>
          <t>COST</t>
        </is>
      </c>
      <c r="L45" s="15" t="n">
        <v>120</v>
      </c>
      <c r="M45" s="15" t="n">
        <v>30</v>
      </c>
      <c r="N45" s="15" t="inlineStr">
        <is>
          <t>A lower target exists but guardrails block automatic recommendation.</t>
        </is>
      </c>
      <c r="O45" s="21" t="n">
        <v>0.58</v>
      </c>
      <c r="P45" s="18" t="inlineStr">
        <is>
          <t>LOW</t>
        </is>
      </c>
      <c r="Q45" s="18" t="b">
        <v>0</v>
      </c>
      <c r="R45" s="16" t="inlineStr">
        <is>
          <t>USD</t>
        </is>
      </c>
      <c r="S45" s="18" t="inlineStr">
        <is>
          <t>UNAVAILABLE</t>
        </is>
      </c>
      <c r="T45" s="19" t="n">
        <v>12000</v>
      </c>
      <c r="U45" s="19" t="n">
        <v>151840</v>
      </c>
      <c r="V45" s="19" t="n">
        <v>163840</v>
      </c>
      <c r="W45" s="19" t="inlineStr">
        <is>
          <t>UNAVAILABLE</t>
        </is>
      </c>
      <c r="X45" s="19" t="inlineStr">
        <is>
          <t>UNAVAILABLE</t>
        </is>
      </c>
      <c r="Y45" s="19" t="inlineStr">
        <is>
          <t>UNAVAILABLE</t>
        </is>
      </c>
      <c r="Z45" s="19" t="inlineStr">
        <is>
          <t>UNAVAILABLE</t>
        </is>
      </c>
      <c r="AA45" s="19" t="inlineStr">
        <is>
          <t>UNAVAILABLE</t>
        </is>
      </c>
      <c r="AB45" s="19" t="inlineStr">
        <is>
          <t>UNAVAILABLE</t>
        </is>
      </c>
      <c r="AC45" s="19" t="inlineStr">
        <is>
          <t>UNAVAILABLE</t>
        </is>
      </c>
      <c r="AD45" s="19" t="inlineStr">
        <is>
          <t>UNAVAILABLE</t>
        </is>
      </c>
      <c r="AE45" s="19" t="inlineStr">
        <is>
          <t>UNAVAILABLE</t>
        </is>
      </c>
      <c r="AF45" s="19" t="inlineStr">
        <is>
          <t>UNAVAILABLE</t>
        </is>
      </c>
      <c r="AG45" s="19" t="inlineStr">
        <is>
          <t>UNAVAILABLE</t>
        </is>
      </c>
      <c r="AH45" s="19" t="inlineStr">
        <is>
          <t>UNAVAILABLE</t>
        </is>
      </c>
      <c r="AI45" s="18" t="b">
        <v>0</v>
      </c>
      <c r="AJ45" s="18" t="inlineStr">
        <is>
          <t>NOT_APPLIED</t>
        </is>
      </c>
      <c r="AK45" s="16" t="inlineStr">
        <is>
          <t>—</t>
        </is>
      </c>
      <c r="AL45" s="18" t="inlineStr">
        <is>
          <t>—</t>
        </is>
      </c>
      <c r="AM45" s="19" t="inlineStr">
        <is>
          <t>UNAVAILABLE</t>
        </is>
      </c>
      <c r="AN45" s="19" t="inlineStr">
        <is>
          <t>UNAVAILABLE</t>
        </is>
      </c>
      <c r="AO45" s="19" t="inlineStr">
        <is>
          <t>UNAVAILABLE</t>
        </is>
      </c>
      <c r="AP45" s="19" t="inlineStr">
        <is>
          <t>UNAVAILABLE</t>
        </is>
      </c>
      <c r="AQ45" s="18" t="inlineStr">
        <is>
          <t>—</t>
        </is>
      </c>
      <c r="AR45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45" s="22" t="inlineStr">
        <is>
          <t>{"coverage":0.033,"epoch_maturity":0.1,"sample":1.0,"signal":0.7,"stability":0.91}</t>
        </is>
      </c>
      <c r="AT45" s="22" t="inlineStr">
        <is>
          <t>["EVID-18637E3CA6358E9E46DF826D","EVID-AE59227B08C58DEA635C4681","EVID-9F356459A3FA55B3F1CB5D7E","EVID-33DCA8B89A2B49AF5DF37795","EVID-BB0A39E40BDCA511D223ED23","EVID-F06B58DBEE8A6313BDCAAB01","EVID-FD5E9C86633A3F34080BECF7","EVID-38718E7800609FF827476BF7","EVID-D6B273BC561A1E053AB22E8C","EVID-ECEA4B5972B35E88B483B834","EVID-755CFD7941CE94A93847E0B3","EVID-11DE4B9E2CE51DBAE4B4614C"]</t>
        </is>
      </c>
      <c r="AU45" s="22" t="inlineStr">
        <is>
          <t>{"EVID-11DE4B9E2CE51DBAE4B4614C":{"comparator":"","epoch_scope":"CURRENT","evidence_id":"EVID-11DE4B9E2CE51DBAE4B4614C","interpretation":"Calendar-day coverage available to the forward cost model.","metric":"cost_history_days","observation_window":"current_epoch","source":"system.billing.usage","source_field":"usage_date","threshold":null,"unit":"days","value":3},"EVID-18637E3CA6358E9E46DF826D":{"comparator":"&gt; target","epoch_scope":"CURRENT","evidence_id":"EVID-18637E3CA6358E9E46DF826D","interpretation":"Current idle termination setting versus deterministic policy target.","metric":"auto_stop_minutes","observation_window":"current epoch","source":"system.compute.warehouses","source_field":"auto_stop_minutes","threshold":30,"unit":"minutes","value":120},"EVID-33DCA8B89A2B49AF5DF37795":{"comparator":"&gt;= evidence minimum","epoch_scope":"CURRENT","evidence_id":"EVID-33DCA8B89A2B49AF5DF37795","interpretation":"Observed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20000.0},"EVID-38718E7800609FF827476BF7":{"comparator":"","epoch_scope":"CURRENT","evidence_id":"EVID-38718E7800609FF827476BF7","interpretation":"Estimated additional off-time at the candidate target.","metric":"estimated_additional_off_minutes","observation_window":"current epoch","source":"system.query.history","source_field":"inter-query gap","threshold":null,"unit":"minutes","value":7920.0},"EVID-755CFD7941CE94A93847E0B3":{"comparator":"","epoch_scope":"CURRENT","evidence_id":"EVID-755CFD7941CE94A93847E0B3","interpretation":"Forward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unavailable.","metric":"forward_aws_cost_365d","observation_window":"forward_365d","source":"derived","source_field":"aws_current_epoch_cost_model","threshold":null,"unit":"USD","value":151840.0},"EVID-9F356459A3FA55B3F1CB5D7E":{"comparator":"&gt;= evidence minimum","epoch_scope":"CURRENT","evidence_id":"EVID-9F356459A3FA55B3F1CB5D7E","interpretation":"Non-overlapping inter-query gap sample supporting the auto-stop counterfactual.","metric":"idle_gap_count","observation_window":"current epoch","source":"system.query.history","source_field":"start_time/end_time","threshold":30,"unit":"gaps","value":96},"EVID-AE59227B08C58DEA635C4681":{"comparator":"","epoch_scope":"CURRENT","evidence_id":"EVID-AE59227B08C58DEA635C4681","interpretation":"Activity density selects the auto-stop target.","metric":"queries_per_active_day_30","observation_window":"last 30 days within current epoch","source":"system.query.history","source_field":"start_time","threshold":null,"unit":"queries/day","value":80.0},"EVID-BB0A39E40BDCA511D223ED23":{"comparator":"","epoch_scope":"CURRENT","evidence_id":"EVID-BB0A39E40BDCA511D223ED23","interpretation":"Queries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epoch","source":"system.query.history","source_field":"waiting_for_compute_duration_ms","threshold":null,"unit":"queries","value":3},"EVID-D6B273BC561A1E053AB22E8C":{"comparator":"","epoch_scope":"CURRENT","evidence_id":"EVID-D6B273BC561A1E053AB22E8C","interpretation":"Observed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price","threshold":null,"unit":"USD","value":10560.0},"EVID-ECEA4B5972B35E88B483B834":{"comparator":"","epoch_scope":"CURRENT","evidence_id":"EVID-ECEA4B5972B35E88B483B834","interpretation":"No-change forward DBU cost forecast anchored to the current configuration epoch.","metric":"forward_dbu_cost_365d","observation_window":"forward_365d","source":"derived","source_field":"epoch-runrate-v2.7","threshold":null,"unit":"USD","value":12000.0},"EVID-F06B58DBEE8A6313BDCAAB01":{"comparator":"&gt;= cold-start blocker","epoch_scope":"CURRENT","evidence_id":"EVID-F06B58DBEE8A6313BDCAAB01","interpretation":"Cold-start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epoch","source":"system.query.history","source_field":"waiting_for_compute_duration_ms","threshold":60000,"unit":"ms","value":3500},"EVID-FD5E9C86633A3F34080BECF7":{"comparator":"&gt;= cold-start blocker","epoch_scope":"CURRENT","evidence_id":"EVID-FD5E9C86633A3F34080BECF7","interpretation":"Restart frequency guardrail.","metric":"starts_per_active_day_30","observation_window":"last 30 days within current epoch","source":"system.compute.warehouse_events","source_field":"event_type=STARTING","threshold":0.5,"unit":"starts/day","value":0.1}}</t>
        </is>
      </c>
      <c r="AV45" s="22" t="inlineStr">
        <is>
          <t>[{"comparator":"&gt; target","evidence_id":"EVID-18637E3CA6358E9E46DF826D","metric":"auto_stop_minutes","threshold":30},{"comparator":"&gt;= evidence minimum","evidence_id":"EVID-9F356459A3FA55B3F1CB5D7E","metric":"idle_gap_count","threshold":30},{"comparator":"&gt;= evidence minimum","evidence_id":"EVID-33DCA8B89A2B49AF5DF37795","metric":"cluster_minutes","threshold":1.0},{"comparator":"&gt;= cold-start blocker","evidence_id":"EVID-F06B58DBEE8A6313BDCAAB01","metric":"p95_wait_compute_ms_when_waited_30","threshold":60000},{"comparator":"&gt;= cold-start blocker","evidence_id":"EVID-FD5E9C86633A3F34080BECF7","metric":"starts_per_active_day_30","threshold":0.5}]</t>
        </is>
      </c>
      <c r="AW45" s="22" t="inlineStr">
        <is>
          <t>[{"condition":null,"dependency_type":"KNOB","ref_id":"min_clusters"}]</t>
        </is>
      </c>
      <c r="AX45" s="22" t="inlineStr">
        <is>
          <t>[]</t>
        </is>
      </c>
      <c r="AY45" s="22" t="inlineStr">
        <is>
          <t>["CURRENT_CONFIG_EPOCH_TOO_NEW"]</t>
        </is>
      </c>
      <c r="AZ45" s="22" t="inlineStr">
        <is>
          <t>[]</t>
        </is>
      </c>
      <c r="BA45" s="22" t="inlineStr">
        <is>
          <t>[]</t>
        </is>
      </c>
    </row>
    <row r="46" ht="32" customHeight="1">
      <c r="A46" s="14" t="inlineStr">
        <is>
          <t>PKG-174715E982DCBFB8A89E70C3</t>
        </is>
      </c>
      <c r="B46" s="14" t="inlineStr">
        <is>
          <t>CAND-D1C8429D0D427860A3152AFC</t>
        </is>
      </c>
      <c r="C46" s="14" t="inlineStr">
        <is>
          <t>WH-SERVERLESS-MIGRATE-001</t>
        </is>
      </c>
      <c r="D46" s="14" t="inlineStr">
        <is>
          <t>1234567890123456</t>
        </is>
      </c>
      <c r="E46" s="14" t="inlineStr">
        <is>
          <t>wh-synth-007</t>
        </is>
      </c>
      <c r="F46" s="15" t="inlineStr">
        <is>
          <t>New Product Launch</t>
        </is>
      </c>
      <c r="G46" s="16" t="inlineStr">
        <is>
          <t>product-analytics@databricks.example</t>
        </is>
      </c>
      <c r="H46" s="14" t="inlineStr">
        <is>
          <t>EPOCH-A8B2A2BBEFFB9B9040B37D98</t>
        </is>
      </c>
      <c r="I46" s="18" t="inlineStr">
        <is>
          <t>warehouse_type</t>
        </is>
      </c>
      <c r="J46" s="18" t="inlineStr">
        <is>
          <t>TEST_REQUIRED</t>
        </is>
      </c>
      <c r="K46" s="15" t="inlineStr">
        <is>
          <t>MIGRATION, COST_AND_PERFORMANCE, OPERATIONS</t>
        </is>
      </c>
      <c r="L46" s="15" t="inlineStr">
        <is>
          <t>PRO</t>
        </is>
      </c>
      <c r="M46" s="15" t="inlineStr">
        <is>
          <t>SERVERLESS</t>
        </is>
      </c>
      <c r="N46" s="15" t="inlineStr">
        <is>
          <t>Serverless is evaluated as a separate migration experiment with a pre-canary DBU/AWS counterfactual and deterministic compatibility gate.</t>
        </is>
      </c>
      <c r="O46" s="21" t="n">
        <v>0.61</v>
      </c>
      <c r="P46" s="18" t="inlineStr">
        <is>
          <t>MEDIUM</t>
        </is>
      </c>
      <c r="Q46" s="18" t="b">
        <v>1</v>
      </c>
      <c r="R46" s="16" t="inlineStr">
        <is>
          <t>USD</t>
        </is>
      </c>
      <c r="S46" s="18" t="inlineStr">
        <is>
          <t>COST_INCREASE</t>
        </is>
      </c>
      <c r="T46" s="19" t="n">
        <v>12000</v>
      </c>
      <c r="U46" s="19" t="n">
        <v>151840</v>
      </c>
      <c r="V46" s="19" t="n">
        <v>163840</v>
      </c>
      <c r="W46" s="19" t="n">
        <v>-328666.67</v>
      </c>
      <c r="X46" s="19" t="n">
        <v>-328666.67</v>
      </c>
      <c r="Y46" s="19" t="n">
        <v>-328666.67</v>
      </c>
      <c r="Z46" s="19" t="n">
        <v>151840</v>
      </c>
      <c r="AA46" s="19" t="n">
        <v>151840</v>
      </c>
      <c r="AB46" s="19" t="n">
        <v>151840</v>
      </c>
      <c r="AC46" s="19" t="n">
        <v>-176826.67</v>
      </c>
      <c r="AD46" s="19" t="n">
        <v>-176826.67</v>
      </c>
      <c r="AE46" s="19" t="n">
        <v>-176826.67</v>
      </c>
      <c r="AF46" s="19" t="n">
        <v>340666.67</v>
      </c>
      <c r="AG46" s="19" t="n">
        <v>340666.67</v>
      </c>
      <c r="AH46" s="19" t="n">
        <v>340666.67</v>
      </c>
      <c r="AI46" s="18" t="b">
        <v>0</v>
      </c>
      <c r="AJ46" s="18" t="inlineStr">
        <is>
          <t>NOT_APPLIED</t>
        </is>
      </c>
      <c r="AK46" s="16" t="inlineStr">
        <is>
          <t>—</t>
        </is>
      </c>
      <c r="AL46" s="18" t="inlineStr">
        <is>
          <t>—</t>
        </is>
      </c>
      <c r="AM46" s="19" t="inlineStr">
        <is>
          <t>UNAVAILABLE</t>
        </is>
      </c>
      <c r="AN46" s="19" t="inlineStr">
        <is>
          <t>UNAVAILABLE</t>
        </is>
      </c>
      <c r="AO46" s="19" t="inlineStr">
        <is>
          <t>UNAVAILABLE</t>
        </is>
      </c>
      <c r="AP46" s="19" t="inlineStr">
        <is>
          <t>UNAVAILABLE</t>
        </is>
      </c>
      <c r="AQ46" s="18" t="inlineStr">
        <is>
          <t>—</t>
        </is>
      </c>
      <c r="AR46" s="15" t="inlineStr">
        <is>
          <t>No numeric threshold</t>
        </is>
      </c>
      <c r="AS46" s="22" t="inlineStr">
        <is>
          <t>{"coverage":0.033,"epoch_maturity":0.1,"sample":1.0,"signal":1.0,"stability":0.91}</t>
        </is>
      </c>
      <c r="AT46" s="22" t="inlineStr">
        <is>
          <t>["EVID-2466A868745928C7FD331536","EVID-D966A16760B03C5442A116EF","EVID-1DA1B37749AB7CAF629DC62B","EVID-747CC412E5A28693E648C692","EVID-3FC965DD5530031ABE3CF979","EVID-164D4D97F7515BF86F925145","EVID-B990A2C0CB6B6E40A93AD8B6","EVID-222B0A26CEBB4F6CFFCEE77A","EVID-72FB3CFBF04B362625A5DCD4","EVID-B90BF660B79B024B199EFC4B","EVID-53C42F047891ECE385CAFC98","EVID-437994D2A9758FE4A0245CBF","EVID-8938B516CD96332F08779D49","EVID-D6B273BC561A1E053AB22E8C","EVID-ECEA4B5972B35E88B483B834","EVID-755CFD7941CE94A93847E0B3","EVID-11DE4B9E2CE51DBAE4B4614C"]</t>
        </is>
      </c>
      <c r="AU46" s="22" t="inlineStr">
        <is>
          <t>{"EVID-11DE4B9E2CE51DBAE4B4614C":{"comparator":"","epoch_scope":"CURRENT","evidence_id":"EVID-11DE4B9E2CE51DBAE4B4614C","interpretation":"Calendar-day coverage available to the forward cost model.","metric":"cost_history_days","observation_window":"current_epoch","source":"system.billing.usage","source_field":"usage_date","threshold":null,"unit":"days","value":3},"EVID-164D4D97F7515BF86F925145":{"comparator":"","epoch_scope":"CURRENT","evidence_id":"EVID-164D4D97F7515BF86F925145","interpretation":"Notebook workload mix context.","metric":"notebook_queries_30","observation_window":"last 30 days within current epoch","source":"system.query.history","source_field":"query_source.notebook_id","threshold":null,"unit":"queries","value":0},"EVID-1DA1B37749AB7CAF629DC62B":{"comparator":"","epoch_scope":"CURRENT","evidence_id":"EVID-1DA1B37749AB7CAF629DC62B","interpretation":"Query-tag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epoch","source":"system.query.history","source_field":"query_tags","threshold":null,"unit":"%","value":70.0},"EVID-222B0A26CEBB4F6CFFCEE77A":{"comparator":"","epoch_scope":"CURRENT","evidence_id":"EVID-222B0A26CEBB4F6CFFCEE77A","interpretation":"Alert workload mix context.","metric":"alert_queries_30","observation_window":"last 30 days within current epoch","source":"system.query.history","source_field":"query_source.alert_id","threshold":null,"unit":"queries","value":0},"EVID-2466A868745928C7FD331536":{"comparator":"","epoch_scope":"CURRENT","evidence_id":"EVID-2466A868745928C7FD331536","interpretation":"Current warehouse type.","metric":"warehouse_type","observation_window":"current epoch","source":"system.compute.warehouses","source_field":"warehouse_type","threshold":null,"unit":"value","value":"PRO"},"EVID-3FC965DD5530031ABE3CF979":{"comparator":"","epoch_scope":"CURRENT","evidence_id":"EVID-3FC965DD5530031ABE3CF979","interpretation":"Job workload mix context.","metric":"job_queries_30","observation_window":"last 30 days within current epoch","source":"system.query.history","source_field":"query_source.job_info.job_id","threshold":null,"unit":"queries","value":0},"EVID-437994D2A9758FE4A0245CBF":{"comparator":"","epoch_scope":"CURRENT","evidence_id":"EVID-437994D2A9758FE4A0245CBF","interpretation":"Coverage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epoch","source":"system.query.history","source_field":"statement_text","threshold":null,"unit":"%","value":100.0},"EVID-53C42F047891ECE385CAFC98":{"comparator":"","epoch_scope":"CURRENT","evidence_id":"EVID-53C42F047891ECE385CAFC98","interpretation":"Tableau client workload mix context.","metric":"tableau_queries_30","observation_window":"last 30 days within current epoch","source":"system.query.history","source_field":"client_application","threshold":null,"unit":"queries","value":0},"EVID-72FB3CFBF04B362625A5DCD4":{"comparator":"","epoch_scope":"CURRENT","evidence_id":"EVID-72FB3CFBF04B362625A5DCD4","interpretation":"Databricks SQL editor/query workload mix context.","metric":"sql_editor_queries_30","observation_window":"last 30 days within current epoch","source":"system.query.history","source_field":"query_source.sql_query_id","threshold":null,"unit":"queries","value":192},"EVID-747CC412E5A28693E648C692":{"comparator":"","epoch_scope":"CURRENT","evidence_id":"EVID-747CC412E5A28693E648C692","interpretation":"Dashboard workload mix context.","metric":"dashboard_queries_30","observation_window":"last 30 days within current epoch","source":"system.query.history","source_field":"query_source.dashboard_id","threshold":null,"unit":"queries","value":1800},"EVID-755CFD7941CE94A93847E0B3":{"comparator":"","epoch_scope":"CURRENT","evidence_id":"EVID-755CFD7941CE94A93847E0B3","interpretation":"Forward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151840.0},"EVID-8938B516CD96332F08779D49":{"comparator":"","epoch_scope":"CURRENT","evidence_id":"EVID-8938B516CD96332F08779D49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only)","threshold":null,"unit":"queries","value":0},"EVID-B90BF660B79B024B199EFC4B":{"comparator":"","epoch_scope":"CURRENT","evidence_id":"EVID-B90BF660B79B024B199EFC4B","interpretation":"Power BI client workload mix context.","metric":"power_bi_queries_30","observation_window":"last 30 days within current epoch","source":"system.query.history","source_field":"client_application","threshold":null,"unit":"queries","value":600},"EVID-B990A2C0CB6B6E40A93AD8B6":{"comparator":"","epoch_scope":"CURRENT","evidence_id":"EVID-B990A2C0CB6B6E40A93AD8B6","interpretation":"Genie workload mix context.","metric":"genie_queries_30","observation_window":"last 30 days within current epoch","source":"system.query.history","source_field":"query_source.genie_space_id","threshold":null,"unit":"queries","value":0},"EVID-D6B273BC561A1E053AB22E8C":{"comparator":"","epoch_scope":"CURRENT","evidence_id":"EVID-D6B273BC561A1E053AB22E8C","interpretation":"Observed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price","threshold":null,"unit":"USD","value":10560.0},"EVID-D966A16760B03C5442A116EF":{"comparator":"","epoch_scope":"CURRENT","evidence_id":"EVID-D966A16760B03C5442A116EF","interpretation":"Observed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days","source":"system.billing.usage","source_field":"product_features.is_serverless","threshold":null,"unit":"%","value":0.0},"EVID-ECEA4B5972B35E88B483B834":{"comparator":"","epoch_scope":"CURRENT","evidence_id":"EVID-ECEA4B5972B35E88B483B834","interpretation":"No-change forward DBU cost forecast anchored to the current configuration epoch.","metric":"forward_dbu_cost_365d","observation_window":"forward_365d","source":"derived","source_field":"epoch-runrate-v2.7","threshold":null,"unit":"USD","value":12000.0}}</t>
        </is>
      </c>
      <c r="AV46" s="22" t="inlineStr">
        <is>
          <t>[]</t>
        </is>
      </c>
      <c r="AW46" s="22" t="inlineStr">
        <is>
          <t>[]</t>
        </is>
      </c>
      <c r="AX46" s="22" t="inlineStr">
        <is>
          <t>["warehouse_size","max_clusters","min_clusters","auto_stop_minutes"]</t>
        </is>
      </c>
      <c r="AY46" s="22" t="inlineStr">
        <is>
          <t>["A_B_COST_PERFORMANCE_VALIDATION_REQUIRED"]</t>
        </is>
      </c>
      <c r="AZ46" s="22" t="inlineStr">
        <is>
          <t>[{"execution_state":"READY_FOR_CANARY","scenario_id":"SCN-FDB5EC0875B1F59325F0FADD","scenario_name":"Plan B — Serverless migration experiment","step":2}]</t>
        </is>
      </c>
      <c r="BA46" s="22" t="inlineStr">
        <is>
          <t>[]</t>
        </is>
      </c>
    </row>
    <row r="47" ht="32" customHeight="1">
      <c r="A47" s="14" t="inlineStr">
        <is>
          <t>PKG-127DD763EAF773382520242A</t>
        </is>
      </c>
      <c r="B47" s="14" t="inlineStr">
        <is>
          <t>CAND-8AE2220BFA703CEB2977138F</t>
        </is>
      </c>
      <c r="C47" s="14" t="inlineStr">
        <is>
          <t>WH-CHANNEL-CURRENT-001</t>
        </is>
      </c>
      <c r="D47" s="14" t="inlineStr">
        <is>
          <t>1234567890123456</t>
        </is>
      </c>
      <c r="E47" s="14" t="inlineStr">
        <is>
          <t>wh-synth-008</t>
        </is>
      </c>
      <c r="F47" s="15" t="inlineStr">
        <is>
          <t>Serverless Analytics</t>
        </is>
      </c>
      <c r="G47" s="16" t="inlineStr">
        <is>
          <t>serverless-analytics@databricks.example</t>
        </is>
      </c>
      <c r="H47" s="14" t="inlineStr">
        <is>
          <t>EPOCH-A2B21AACB14B0C5F3EA18AB5</t>
        </is>
      </c>
      <c r="I47" s="18" t="inlineStr">
        <is>
          <t>warehouse_channel</t>
        </is>
      </c>
      <c r="J47" s="18" t="inlineStr">
        <is>
          <t>NO_CHANGE</t>
        </is>
      </c>
      <c r="K47" s="15" t="inlineStr">
        <is>
          <t>STABILITY</t>
        </is>
      </c>
      <c r="L47" s="15" t="inlineStr">
        <is>
          <t>CURRENT</t>
        </is>
      </c>
      <c r="M47" s="15" t="inlineStr">
        <is>
          <t>CURRENT</t>
        </is>
      </c>
      <c r="N47" s="15" t="inlineStr">
        <is>
          <t>No channel change indicated.</t>
        </is>
      </c>
      <c r="O47" s="21" t="n">
        <v>0.8</v>
      </c>
      <c r="P47" s="18" t="inlineStr">
        <is>
          <t>HIGH</t>
        </is>
      </c>
      <c r="Q47" s="18" t="b">
        <v>1</v>
      </c>
      <c r="R47" s="16" t="inlineStr">
        <is>
          <t>USD</t>
        </is>
      </c>
      <c r="S47" s="18" t="inlineStr">
        <is>
          <t>NO_CHANGE</t>
        </is>
      </c>
      <c r="T47" s="19" t="n">
        <v>52000</v>
      </c>
      <c r="U47" s="19" t="n">
        <v>0</v>
      </c>
      <c r="V47" s="19" t="n">
        <v>52000</v>
      </c>
      <c r="W47" s="19" t="n">
        <v>0</v>
      </c>
      <c r="X47" s="19" t="n">
        <v>0</v>
      </c>
      <c r="Y47" s="19" t="n">
        <v>0</v>
      </c>
      <c r="Z47" s="19" t="n">
        <v>0</v>
      </c>
      <c r="AA47" s="19" t="n">
        <v>0</v>
      </c>
      <c r="AB47" s="19" t="n">
        <v>0</v>
      </c>
      <c r="AC47" s="19" t="n">
        <v>0</v>
      </c>
      <c r="AD47" s="19" t="n">
        <v>0</v>
      </c>
      <c r="AE47" s="19" t="n">
        <v>0</v>
      </c>
      <c r="AF47" s="19" t="n">
        <v>52000</v>
      </c>
      <c r="AG47" s="19" t="n">
        <v>52000</v>
      </c>
      <c r="AH47" s="19" t="n">
        <v>52000</v>
      </c>
      <c r="AI47" s="18" t="b">
        <v>0</v>
      </c>
      <c r="AJ47" s="18" t="inlineStr">
        <is>
          <t>NOT_APPLIED</t>
        </is>
      </c>
      <c r="AK47" s="16" t="inlineStr">
        <is>
          <t>—</t>
        </is>
      </c>
      <c r="AL47" s="18" t="inlineStr">
        <is>
          <t>—</t>
        </is>
      </c>
      <c r="AM47" s="19" t="inlineStr">
        <is>
          <t>UNAVAILABLE</t>
        </is>
      </c>
      <c r="AN47" s="19" t="inlineStr">
        <is>
          <t>UNAVAILABLE</t>
        </is>
      </c>
      <c r="AO47" s="19" t="inlineStr">
        <is>
          <t>UNAVAILABLE</t>
        </is>
      </c>
      <c r="AP47" s="19" t="inlineStr">
        <is>
          <t>UNAVAILABLE</t>
        </is>
      </c>
      <c r="AQ47" s="18" t="inlineStr">
        <is>
          <t>—</t>
        </is>
      </c>
      <c r="AR47" s="15" t="inlineStr">
        <is>
          <t>No numeric threshold</t>
        </is>
      </c>
      <c r="AS47" s="22" t="inlineStr">
        <is>
          <t>{"coverage":1.0,"epoch_maturity":1.0,"sample":1.0,"signal":0.7,"stability":0.91}</t>
        </is>
      </c>
      <c r="AT47" s="22" t="inlineStr">
        <is>
          <t>["EVID-525CBF587D31215B90EBF9D6","EVID-AC8BB4FF1601DC693A4FC67D","EVID-D9753C2D5E31F0E204F772E6","EVID-AEC33BC02A330A7D397D1BA5","EVID-7509E42EBDD3C2025EEECD35"]</t>
        </is>
      </c>
      <c r="AU47" s="22" t="inlineStr">
        <is>
          <t>{"EVID-525CBF587D31215B90EBF9D6":{"comparator":"","epoch_scope":"CURRENT","evidence_id":"EVID-525CBF587D31215B90EBF9D6","interpretation":"Current release channel from the current configuration epoch.","metric":"warehouse_channel","observation_window":"current epoch","source":"system.compute.warehouses","source_field":"warehouse_channel","threshold":null,"unit":"value","value":"CURRENT"},"EVID-7509E42EBDD3C2025EEECD35":{"comparator":"","epoch_scope":"CURRENT","evidence_id":"EVID-7509E42EBDD3C2025EEECD35","interpretation":"Calendar-day coverage available to the forward cost model.","metric":"cost_history_days","observation_window":"current_epoch","source":"system.billing.usage","source_field":"usage_date","threshold":null,"unit":"days","value":269},"EVID-AC8BB4FF1601DC693A4FC67D":{"comparator":"","epoch_scope":"CURRENT","evidence_id":"EVID-AC8BB4FF1601DC693A4FC67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price","threshold":null,"unit":"USD","value":45760.0},"EVID-AEC33BC02A330A7D397D1BA5":{"comparator":"","epoch_scope":"CURRENT","evidence_id":"EVID-AEC33BC02A330A7D397D1BA5","interpretation":"Forward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0.0},"EVID-D9753C2D5E31F0E204F772E6":{"comparator":"","epoch_scope":"CURRENT","evidence_id":"EVID-D9753C2D5E31F0E204F772E6","interpretation":"No-change forward DBU cost forecast anchored to the current configuration epoch.","metric":"forward_dbu_cost_365d","observation_window":"forward_365d","source":"derived","source_field":"epoch-runrate-v2.7","threshold":null,"unit":"USD","value":52000.0}}</t>
        </is>
      </c>
      <c r="AV47" s="22" t="inlineStr">
        <is>
          <t>[]</t>
        </is>
      </c>
      <c r="AW47" s="22" t="inlineStr">
        <is>
          <t>[]</t>
        </is>
      </c>
      <c r="AX47" s="22" t="inlineStr">
        <is>
          <t>[]</t>
        </is>
      </c>
      <c r="AY47" s="22" t="inlineStr">
        <is>
          <t>[]</t>
        </is>
      </c>
      <c r="AZ47" s="22" t="inlineStr">
        <is>
          <t>[]</t>
        </is>
      </c>
      <c r="BA47" s="22" t="inlineStr">
        <is>
          <t>[]</t>
        </is>
      </c>
    </row>
    <row r="48" ht="32" customHeight="1">
      <c r="A48" s="14" t="inlineStr">
        <is>
          <t>PKG-127DD763EAF773382520242A</t>
        </is>
      </c>
      <c r="B48" s="14" t="inlineStr">
        <is>
          <t>CAND-8CF2F68ED84D562D3D9E5560</t>
        </is>
      </c>
      <c r="C48" s="14" t="inlineStr">
        <is>
          <t>WH-SIZE-DOWNSIZE-001</t>
        </is>
      </c>
      <c r="D48" s="14" t="inlineStr">
        <is>
          <t>1234567890123456</t>
        </is>
      </c>
      <c r="E48" s="14" t="inlineStr">
        <is>
          <t>wh-synth-008</t>
        </is>
      </c>
      <c r="F48" s="15" t="inlineStr">
        <is>
          <t>Serverless Analytics</t>
        </is>
      </c>
      <c r="G48" s="16" t="inlineStr">
        <is>
          <t>serverless-analytics@databricks.example</t>
        </is>
      </c>
      <c r="H48" s="14" t="inlineStr">
        <is>
          <t>EPOCH-A2B21AACB14B0C5F3EA18AB5</t>
        </is>
      </c>
      <c r="I48" s="18" t="inlineStr">
        <is>
          <t>warehouse_size</t>
        </is>
      </c>
      <c r="J48" s="18" t="inlineStr">
        <is>
          <t>TEST_REQUIRED</t>
        </is>
      </c>
      <c r="K48" s="15" t="inlineStr">
        <is>
          <t>COST</t>
        </is>
      </c>
      <c r="L48" s="15" t="inlineStr">
        <is>
          <t>MEDIUM</t>
        </is>
      </c>
      <c r="M48" s="15" t="inlineStr">
        <is>
          <t>SMALL</t>
        </is>
      </c>
      <c r="N48" s="15" t="inlineStr">
        <is>
          <t>Low spill, queueing, and latency make one-size down a controlled canary candidate; absence of pressure is not proof of SLA safety.</t>
        </is>
      </c>
      <c r="O48" s="21" t="n">
        <v>0.78</v>
      </c>
      <c r="P48" s="18" t="inlineStr">
        <is>
          <t>MEDIUM</t>
        </is>
      </c>
      <c r="Q48" s="18" t="b">
        <v>1</v>
      </c>
      <c r="R48" s="16" t="inlineStr">
        <is>
          <t>USD</t>
        </is>
      </c>
      <c r="S48" s="18" t="inlineStr">
        <is>
          <t>SAVINGS</t>
        </is>
      </c>
      <c r="T48" s="19" t="n">
        <v>52000</v>
      </c>
      <c r="U48" s="19" t="n">
        <v>0</v>
      </c>
      <c r="V48" s="19" t="n">
        <v>52000</v>
      </c>
      <c r="W48" s="19" t="n">
        <v>11700</v>
      </c>
      <c r="X48" s="19" t="n">
        <v>18200</v>
      </c>
      <c r="Y48" s="19" t="n">
        <v>23400</v>
      </c>
      <c r="Z48" s="19" t="n">
        <v>0</v>
      </c>
      <c r="AA48" s="19" t="n">
        <v>0</v>
      </c>
      <c r="AB48" s="19" t="n">
        <v>0</v>
      </c>
      <c r="AC48" s="19" t="n">
        <v>11700</v>
      </c>
      <c r="AD48" s="19" t="n">
        <v>18200</v>
      </c>
      <c r="AE48" s="19" t="n">
        <v>23400</v>
      </c>
      <c r="AF48" s="19" t="n">
        <v>28600</v>
      </c>
      <c r="AG48" s="19" t="n">
        <v>33800</v>
      </c>
      <c r="AH48" s="19" t="n">
        <v>40300</v>
      </c>
      <c r="AI48" s="18" t="b">
        <v>0</v>
      </c>
      <c r="AJ48" s="18" t="inlineStr">
        <is>
          <t>NOT_APPLIED</t>
        </is>
      </c>
      <c r="AK48" s="16" t="inlineStr">
        <is>
          <t>—</t>
        </is>
      </c>
      <c r="AL48" s="18" t="inlineStr">
        <is>
          <t>—</t>
        </is>
      </c>
      <c r="AM48" s="19" t="inlineStr">
        <is>
          <t>UNAVAILABLE</t>
        </is>
      </c>
      <c r="AN48" s="19" t="inlineStr">
        <is>
          <t>UNAVAILABLE</t>
        </is>
      </c>
      <c r="AO48" s="19" t="inlineStr">
        <is>
          <t>UNAVAILABLE</t>
        </is>
      </c>
      <c r="AP48" s="19" t="inlineStr">
        <is>
          <t>UNAVAILABLE</t>
        </is>
      </c>
      <c r="AQ48" s="18" t="inlineStr">
        <is>
          <t>—</t>
        </is>
      </c>
      <c r="AR48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48" s="22" t="inlineStr">
        <is>
          <t>{"coverage":1.0,"epoch_maturity":1.0,"sample":1.0,"signal":1.0,"stability":0.91}</t>
        </is>
      </c>
      <c r="AT48" s="22" t="inlineStr">
        <is>
          <t>["EVID-7C38C1C5C0A50E5541957C70","EVID-9497EEFAC96FC0FF43049E5A","EVID-6B64C5D537A164CF2D9E9E83","EVID-2990A0D93C8B36C0E61B4460","EVID-0183D69D139344A5B63A4692","EVID-3643FB63351B00006C91E749","EVID-1556195FEAB1A5CF132FC710","EVID-0B2D8687B4C5CC349527EF25","EVID-AC8BB4FF1601DC693A4FC67D","EVID-D9753C2D5E31F0E204F772E6","EVID-AEC33BC02A330A7D397D1BA5","EVID-7509E42EBDD3C2025EEECD35"]</t>
        </is>
      </c>
      <c r="AU48" s="22" t="inlineStr">
        <is>
          <t>{"EVID-0183D69D139344A5B63A4692":{"comparator":"&lt;= downsize-safe","epoch_scope":"CURRENT","evidence_id":"EVID-0183D69D139344A5B63A4692","interpretation":"Concurrency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epoch","source":"system.query.history","source_field":"waiting_at_capacity_duration_ms","threshold":0.5,"unit":"%","value":0.0},"EVID-0B2D8687B4C5CC349527EF25":{"comparator":"","epoch_scope":"CURRENT","evidence_id":"EVID-0B2D8687B4C5CC349527EF25","interpretation":"I/O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epoch","source":"system.query.history","source_field":"read_io_cache_percent","threshold":null,"unit":"%","value":35.0},"EVID-1556195FEAB1A5CF132FC710":{"comparator":"&lt;= downsize-safe","epoch_scope":"CURRENT","evidence_id":"EVID-1556195FEAB1A5CF132FC710","interpretation":"Extreme tail execution latency guardrail.","metric":"p99_execution_ms_30","observation_window":"last 30 days within current epoch","source":"system.query.history","source_field":"execution_duration_ms","threshold":30000,"unit":"ms","value":5500},"EVID-2990A0D93C8B36C0E61B4460":{"comparator":"&gt;= upsize signal","epoch_scope":"CURRENT","evidence_id":"EVID-2990A0D93C8B36C0E61B4460","interpretation":"Severity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epoch","source":"system.query.history","source_field":"spilled_local_bytes","threshold":1073741824,"unit":"bytes","value":0},"EVID-3643FB63351B00006C91E749":{"comparator":"&lt;= downsize-safe","epoch_scope":"CURRENT","evidence_id":"EVID-3643FB63351B00006C91E749","interpretation":"Tail execution latency guardrail.","metric":"p95_execution_ms_30","observation_window":"last 30 days within current epoch","source":"system.query.history","source_field":"execution_duration_ms","threshold":5000,"unit":"ms","value":1800},"EVID-6B64C5D537A164CF2D9E9E83":{"comparator":"&gt;= evidence minimum for upsize","epoch_scope":"CURRENT","evidence_id":"EVID-6B64C5D537A164CF2D9E9E83","interpretation":"Queries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epoch","source":"system.query.history","source_field":"spilled_local_bytes","threshold":20,"unit":"queries","value":0},"EVID-7509E42EBDD3C2025EEECD35":{"comparator":"","epoch_scope":"CURRENT","evidence_id":"EVID-7509E42EBDD3C2025EEECD35","interpretation":"Calendar-day coverage available to the forward cost model.","metric":"cost_history_days","observation_window":"current_epoch","source":"system.billing.usage","source_field":"usage_date","threshold":null,"unit":"days","value":269},"EVID-7C38C1C5C0A50E5541957C70":{"comparator":"","epoch_scope":"CURRENT","evidence_id":"EVID-7C38C1C5C0A50E5541957C70","interpretation":"Current warehouse size.","metric":"warehouse_size","observation_window":"current epoch","source":"system.compute.warehouses","source_field":"warehouse_size","threshold":null,"unit":"value","value":"MEDIUM"},"EVID-9497EEFAC96FC0FF43049E5A":{"comparator":"&gt;= upsize signal","epoch_scope":"CURRENT","evidence_id":"EVID-9497EEFAC96FC0FF43049E5A","interpretation":"Frequency of queries spilling to local storage.","metric":"spill_query_pct_30","observation_window":"last 30 days within current epoch","source":"system.query.history","source_field":"spilled_local_bytes","threshold":2.0,"unit":"%","value":0.0},"EVID-AC8BB4FF1601DC693A4FC67D":{"comparator":"","epoch_scope":"CURRENT","evidence_id":"EVID-AC8BB4FF1601DC693A4FC67D","interpretation":"Observed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price","threshold":null,"unit":"USD","value":45760.0},"EVID-AEC33BC02A330A7D397D1BA5":{"comparator":"","epoch_scope":"CURRENT","evidence_id":"EVID-AEC33BC02A330A7D397D1BA5","interpretation":"Forward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0.0},"EVID-D9753C2D5E31F0E204F772E6":{"comparator":"","epoch_scope":"CURRENT","evidence_id":"EVID-D9753C2D5E31F0E204F772E6","interpretation":"No-change forward DBU cost forecast anchored to the current configuration epoch.","metric":"forward_dbu_cost_365d","observation_window":"forward_365d","source":"derived","source_field":"epoch-runrate-v2.7","threshold":null,"unit":"USD","value":52000.0}}</t>
        </is>
      </c>
      <c r="AV48" s="22" t="inlineStr">
        <is>
          <t>[{"comparator":"&gt;= upsize signal","evidence_id":"EVID-9497EEFAC96FC0FF43049E5A","metric":"spill_query_pct_30","threshold":2.0},{"comparator":"&gt;= evidence minimum for upsize","evidence_id":"EVID-6B64C5D537A164CF2D9E9E83","metric":"spill_queries_30","threshold":20},{"comparator":"&gt;= upsize signal","evidence_id":"EVID-2990A0D93C8B36C0E61B4460","metric":"p95_spill_bytes_when_spilled_30","threshold":1073741824},{"comparator":"&lt;= downsize-safe","evidence_id":"EVID-0183D69D139344A5B63A4692","metric":"queued_query_pct_30","threshold":0.5},{"comparator":"&lt;= downsize-safe","evidence_id":"EVID-3643FB63351B00006C91E749","metric":"p95_execution_ms_30","threshold":5000},{"comparator":"&lt;= downsize-safe","evidence_id":"EVID-1556195FEAB1A5CF132FC710","metric":"p99_execution_ms_30","threshold":30000}]</t>
        </is>
      </c>
      <c r="AW48" s="22" t="inlineStr">
        <is>
          <t>[{"condition":null,"dependency_type":"KNOB","ref_id":"warehouse_channel"}]</t>
        </is>
      </c>
      <c r="AX48" s="22" t="inlineStr">
        <is>
          <t>["max_clusters","min_clusters","auto_stop_minutes"]</t>
        </is>
      </c>
      <c r="AY48" s="22" t="inlineStr">
        <is>
          <t>["A_B_PERFORMANCE_VALIDATION_REQUIRED"]</t>
        </is>
      </c>
      <c r="AZ48" s="22" t="inlineStr">
        <is>
          <t>[{"execution_state":"READY_FOR_CANARY","scenario_id":"SCN-EFE76D0072038BA31048924A","scenario_name":"Plan A — Optimize current warehouse type","step":1}]</t>
        </is>
      </c>
      <c r="BA48" s="22" t="inlineStr">
        <is>
          <t>[]</t>
        </is>
      </c>
    </row>
    <row r="49" ht="32" customHeight="1">
      <c r="A49" s="14" t="inlineStr">
        <is>
          <t>PKG-127DD763EAF773382520242A</t>
        </is>
      </c>
      <c r="B49" s="14" t="inlineStr">
        <is>
          <t>CAND-D7E581D7637D85BCED1CACDC</t>
        </is>
      </c>
      <c r="C49" s="14" t="inlineStr">
        <is>
          <t>WH-MAX-CLUSTER-REDUCE-001</t>
        </is>
      </c>
      <c r="D49" s="14" t="inlineStr">
        <is>
          <t>1234567890123456</t>
        </is>
      </c>
      <c r="E49" s="14" t="inlineStr">
        <is>
          <t>wh-synth-008</t>
        </is>
      </c>
      <c r="F49" s="15" t="inlineStr">
        <is>
          <t>Serverless Analytics</t>
        </is>
      </c>
      <c r="G49" s="16" t="inlineStr">
        <is>
          <t>serverless-analytics@databricks.example</t>
        </is>
      </c>
      <c r="H49" s="14" t="inlineStr">
        <is>
          <t>EPOCH-A2B21AACB14B0C5F3EA18AB5</t>
        </is>
      </c>
      <c r="I49" s="18" t="inlineStr">
        <is>
          <t>max_clusters</t>
        </is>
      </c>
      <c r="J49" s="18" t="inlineStr">
        <is>
          <t>ACTIONABLE</t>
        </is>
      </c>
      <c r="K49" s="15" t="inlineStr">
        <is>
          <t>COST_GUARDRAIL</t>
        </is>
      </c>
      <c r="L49" s="15" t="n">
        <v>10</v>
      </c>
      <c r="M49" s="15" t="n">
        <v>5</v>
      </c>
      <c r="N49" s="15" t="inlineStr">
        <is>
          <t>The configured ceiling has not been used and queue pressure is low; tighten the guardrail without claiming direct savings.</t>
        </is>
      </c>
      <c r="O49" s="21" t="n">
        <v>0.93</v>
      </c>
      <c r="P49" s="18" t="inlineStr">
        <is>
          <t>HIGH</t>
        </is>
      </c>
      <c r="Q49" s="18" t="b">
        <v>1</v>
      </c>
      <c r="R49" s="16" t="inlineStr">
        <is>
          <t>USD</t>
        </is>
      </c>
      <c r="S49" s="18" t="inlineStr">
        <is>
          <t>NO_CHANGE</t>
        </is>
      </c>
      <c r="T49" s="19" t="n">
        <v>52000</v>
      </c>
      <c r="U49" s="19" t="n">
        <v>0</v>
      </c>
      <c r="V49" s="19" t="n">
        <v>52000</v>
      </c>
      <c r="W49" s="19" t="n">
        <v>0</v>
      </c>
      <c r="X49" s="19" t="n">
        <v>0</v>
      </c>
      <c r="Y49" s="19" t="n">
        <v>0</v>
      </c>
      <c r="Z49" s="19" t="n">
        <v>0</v>
      </c>
      <c r="AA49" s="19" t="n">
        <v>0</v>
      </c>
      <c r="AB49" s="19" t="n">
        <v>0</v>
      </c>
      <c r="AC49" s="19" t="n">
        <v>0</v>
      </c>
      <c r="AD49" s="19" t="n">
        <v>0</v>
      </c>
      <c r="AE49" s="19" t="n">
        <v>0</v>
      </c>
      <c r="AF49" s="19" t="n">
        <v>52000</v>
      </c>
      <c r="AG49" s="19" t="n">
        <v>52000</v>
      </c>
      <c r="AH49" s="19" t="n">
        <v>52000</v>
      </c>
      <c r="AI49" s="18" t="b">
        <v>0</v>
      </c>
      <c r="AJ49" s="18" t="inlineStr">
        <is>
          <t>NOT_APPLIED</t>
        </is>
      </c>
      <c r="AK49" s="16" t="inlineStr">
        <is>
          <t>—</t>
        </is>
      </c>
      <c r="AL49" s="18" t="inlineStr">
        <is>
          <t>—</t>
        </is>
      </c>
      <c r="AM49" s="19" t="inlineStr">
        <is>
          <t>UNAVAILABLE</t>
        </is>
      </c>
      <c r="AN49" s="19" t="inlineStr">
        <is>
          <t>UNAVAILABLE</t>
        </is>
      </c>
      <c r="AO49" s="19" t="inlineStr">
        <is>
          <t>UNAVAILABLE</t>
        </is>
      </c>
      <c r="AP49" s="19" t="inlineStr">
        <is>
          <t>UNAVAILABLE</t>
        </is>
      </c>
      <c r="AQ49" s="18" t="inlineStr">
        <is>
          <t>—</t>
        </is>
      </c>
      <c r="AR49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49" s="22" t="inlineStr">
        <is>
          <t>{"coverage":1.0,"epoch_maturity":1.0,"sample":1.0,"signal":1.0,"stability":0.91}</t>
        </is>
      </c>
      <c r="AT49" s="22" t="inlineStr">
        <is>
          <t>["EVID-5608F7EDDD7A89A523D78D43","EVID-0EFC69DD796CDB2BB3A26C05","EVID-C1EF897F2209F5020FC5E87C","EVID-2F0017120F12F15E975E9770","EVID-0A5EDD910EDA6604A2135A12","EVID-16F87622F0D96D469B6496DA","EVID-AC8BB4FF1601DC693A4FC67D","EVID-D9753C2D5E31F0E204F772E6","EVID-AEC33BC02A330A7D397D1BA5","EVID-7509E42EBDD3C2025EEECD35"]</t>
        </is>
      </c>
      <c r="AU49" s="22" t="inlineStr">
        <is>
          <t>{"EVID-0A5EDD910EDA6604A2135A12":{"comparator":"&gt;= evidence minimum for increase","epoch_scope":"CURRENT","evidence_id":"EVID-0A5EDD910EDA6604A2135A12","interpretation":"Queries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epoch","source":"system.query.history","source_field":"waiting_at_capacity_duration_ms","threshold":20,"unit":"queries","value":0},"EVID-0EFC69DD796CDB2BB3A26C05":{"comparator":"","epoch_scope":"CURRENT","evidence_id":"EVID-0EFC69DD796CDB2BB3A26C05","interpretation":"Highest observed scale level.","metric":"max_observed_clusters","observation_window":"current epoch","source":"system.compute.warehouse_events","source_field":"cluster_count","threshold":null,"unit":"clusters","value":4},"EVID-16F87622F0D96D469B6496DA":{"comparator":"&gt;= increase signal","epoch_scope":"CURRENT","evidence_id":"EVID-16F87622F0D96D469B6496DA","interpretation":"Severity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epoch","source":"system.query.history","source_field":"waiting_at_capacity_duration_ms","threshold":30000,"unit":"ms","value":0},"EVID-2F0017120F12F15E975E9770":{"comparator":"&gt;= increase signal","epoch_scope":"CURRENT","evidence_id":"EVID-2F0017120F12F15E975E9770","interpretation":"Frequency of capacity queueing.","metric":"queued_query_pct_30","observation_window":"last 30 days within current epoch","source":"system.query.history","source_field":"waiting_at_capacity_duration_ms","threshold":5.0,"unit":"%","value":0.0},"EVID-5608F7EDDD7A89A523D78D43":{"comparator":"","epoch_scope":"CURRENT","evidence_id":"EVID-5608F7EDDD7A89A523D78D43","interpretation":"Configured concurrency ceiling.","metric":"max_clusters","observation_window":"current epoch","source":"system.compute.warehouses","source_field":"max_clusters","threshold":null,"unit":"value","value":10},"EVID-7509E42EBDD3C2025EEECD35":{"comparator":"","epoch_scope":"CURRENT","evidence_id":"EVID-7509E42EBDD3C2025EEECD35","interpretation":"Calendar-day coverage available to the forward cost model.","metric":"cost_history_days","observation_window":"current_epoch","source":"system.billing.usage","source_field":"usage_date","threshold":null,"unit":"days","value":269},"EVID-AC8BB4FF1601DC693A4FC67D":{"comparator":"","epoch_scope":"CURRENT","evidence_id":"EVID-AC8BB4FF1601DC693A4FC67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price","threshold":null,"unit":"USD","value":45760.0},"EVID-AEC33BC02A330A7D397D1BA5":{"comparator":"","epoch_scope":"CURRENT","evidence_id":"EVID-AEC33BC02A330A7D397D1BA5","interpretation":"Forward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unavailable.","metric":"forward_aws_cost_365d","observation_window":"forward_365d","source":"derived","source_field":"aws_current_epoch_cost_model","threshold":null,"unit":"USD","value":0.0},"EVID-C1EF897F2209F5020FC5E87C":{"comparator":"&lt;= reduce-safe","epoch_scope":"CURRENT","evidence_id":"EVID-C1EF897F2209F5020FC5E87C","interpretation":"Fraction of running time at configured maximum.","metric":"time_at_max_pct","observation_window":"current epoch","source":"system.compute.warehouse_events","source_field":"cluster_count","threshold":1.0,"unit":"%","value":0.0},"EVID-D9753C2D5E31F0E204F772E6":{"comparator":"","epoch_scope":"CURRENT","evidence_id":"EVID-D9753C2D5E31F0E204F772E6","interpretation":"No-change forward DBU cost forecast anchored to the current configuration epoch.","metric":"forward_dbu_cost_365d","observation_window":"forward_365d","source":"derived","source_field":"epoch-runrate-v2.7","threshold":null,"unit":"USD","value":52000.0}}</t>
        </is>
      </c>
      <c r="AV49" s="22" t="inlineStr">
        <is>
          <t>[{"comparator":"&lt;= reduce-safe","evidence_id":"EVID-C1EF897F2209F5020FC5E87C","metric":"time_at_max_pct","threshold":1.0},{"comparator":"&gt;= increase signal","evidence_id":"EVID-2F0017120F12F15E975E9770","metric":"queued_query_pct_30","threshold":5.0},{"comparator":"&gt;= evidence minimum for increase","evidence_id":"EVID-0A5EDD910EDA6604A2135A12","metric":"queued_queries_30","threshold":20},{"comparator":"&gt;= increase signal","evidence_id":"EVID-16F87622F0D96D469B6496DA","metric":"p95_wait_capacity_ms_when_queued_30","threshold":30000}]</t>
        </is>
      </c>
      <c r="AW49" s="22" t="inlineStr">
        <is>
          <t>[{"condition":null,"dependency_type":"KNOB","ref_id":"warehouse_size"}]</t>
        </is>
      </c>
      <c r="AX49" s="22" t="inlineStr">
        <is>
          <t>["min_clusters"]</t>
        </is>
      </c>
      <c r="AY49" s="22" t="inlineStr">
        <is>
          <t>[]</t>
        </is>
      </c>
      <c r="AZ49" s="22" t="inlineStr">
        <is>
          <t>[{"execution_state":"PENDING_REEVALUATION","scenario_id":"SCN-EFE76D0072038BA31048924A","scenario_name":"Plan A — Optimize current warehouse type","step":2}]</t>
        </is>
      </c>
      <c r="BA49" s="22" t="inlineStr">
        <is>
          <t>[]</t>
        </is>
      </c>
    </row>
    <row r="50" ht="32" customHeight="1">
      <c r="A50" s="14" t="inlineStr">
        <is>
          <t>PKG-127DD763EAF773382520242A</t>
        </is>
      </c>
      <c r="B50" s="14" t="inlineStr">
        <is>
          <t>CAND-B9252C817CCDE26D5CB43B2C</t>
        </is>
      </c>
      <c r="C50" s="14" t="inlineStr">
        <is>
          <t>WH-MIN-CLUSTER-ASSESS-001</t>
        </is>
      </c>
      <c r="D50" s="14" t="inlineStr">
        <is>
          <t>1234567890123456</t>
        </is>
      </c>
      <c r="E50" s="14" t="inlineStr">
        <is>
          <t>wh-synth-008</t>
        </is>
      </c>
      <c r="F50" s="15" t="inlineStr">
        <is>
          <t>Serverless Analytics</t>
        </is>
      </c>
      <c r="G50" s="16" t="inlineStr">
        <is>
          <t>serverless-analytics@databricks.example</t>
        </is>
      </c>
      <c r="H50" s="14" t="inlineStr">
        <is>
          <t>EPOCH-A2B21AACB14B0C5F3EA18AB5</t>
        </is>
      </c>
      <c r="I50" s="18" t="inlineStr">
        <is>
          <t>min_clusters</t>
        </is>
      </c>
      <c r="J50" s="18" t="inlineStr">
        <is>
          <t>NO_CHANGE</t>
        </is>
      </c>
      <c r="K50" s="15" t="inlineStr">
        <is>
          <t>COST</t>
        </is>
      </c>
      <c r="L50" s="15" t="n">
        <v>1</v>
      </c>
      <c r="M50" s="15" t="n">
        <v>1</v>
      </c>
      <c r="N50" s="15" t="inlineStr">
        <is>
          <t>Minimum is already 1.</t>
        </is>
      </c>
      <c r="O50" s="21" t="n">
        <v>0.8</v>
      </c>
      <c r="P50" s="18" t="inlineStr">
        <is>
          <t>HIGH</t>
        </is>
      </c>
      <c r="Q50" s="18" t="b">
        <v>1</v>
      </c>
      <c r="R50" s="16" t="inlineStr">
        <is>
          <t>USD</t>
        </is>
      </c>
      <c r="S50" s="18" t="inlineStr">
        <is>
          <t>NO_CHANGE</t>
        </is>
      </c>
      <c r="T50" s="19" t="n">
        <v>52000</v>
      </c>
      <c r="U50" s="19" t="n">
        <v>0</v>
      </c>
      <c r="V50" s="19" t="n">
        <v>52000</v>
      </c>
      <c r="W50" s="19" t="n">
        <v>0</v>
      </c>
      <c r="X50" s="19" t="n">
        <v>0</v>
      </c>
      <c r="Y50" s="19" t="n">
        <v>0</v>
      </c>
      <c r="Z50" s="19" t="n">
        <v>0</v>
      </c>
      <c r="AA50" s="19" t="n">
        <v>0</v>
      </c>
      <c r="AB50" s="19" t="n">
        <v>0</v>
      </c>
      <c r="AC50" s="19" t="n">
        <v>0</v>
      </c>
      <c r="AD50" s="19" t="n">
        <v>0</v>
      </c>
      <c r="AE50" s="19" t="n">
        <v>0</v>
      </c>
      <c r="AF50" s="19" t="n">
        <v>52000</v>
      </c>
      <c r="AG50" s="19" t="n">
        <v>52000</v>
      </c>
      <c r="AH50" s="19" t="n">
        <v>52000</v>
      </c>
      <c r="AI50" s="18" t="b">
        <v>0</v>
      </c>
      <c r="AJ50" s="18" t="inlineStr">
        <is>
          <t>NOT_APPLIED</t>
        </is>
      </c>
      <c r="AK50" s="16" t="inlineStr">
        <is>
          <t>—</t>
        </is>
      </c>
      <c r="AL50" s="18" t="inlineStr">
        <is>
          <t>—</t>
        </is>
      </c>
      <c r="AM50" s="19" t="inlineStr">
        <is>
          <t>UNAVAILABLE</t>
        </is>
      </c>
      <c r="AN50" s="19" t="inlineStr">
        <is>
          <t>UNAVAILABLE</t>
        </is>
      </c>
      <c r="AO50" s="19" t="inlineStr">
        <is>
          <t>UNAVAILABLE</t>
        </is>
      </c>
      <c r="AP50" s="19" t="inlineStr">
        <is>
          <t>UNAVAILABLE</t>
        </is>
      </c>
      <c r="AQ50" s="18" t="inlineStr">
        <is>
          <t>—</t>
        </is>
      </c>
      <c r="AR50" s="15" t="inlineStr">
        <is>
          <t>time_at_min_pct &gt;= reduction signal 25.0; queued_query_pct_30 &lt;= safe 0.5; p95_wait_capacity_ms_when_queued_30 &lt;= safe 5000; time_at_max_pct &gt;= blocker 20.0</t>
        </is>
      </c>
      <c r="AS50" s="22" t="inlineStr">
        <is>
          <t>{"coverage":1.0,"epoch_maturity":1.0,"sample":1.0,"signal":0.7,"stability":0.91}</t>
        </is>
      </c>
      <c r="AT50" s="22" t="inlineStr">
        <is>
          <t>["EVID-6767B2DC53AFEA546EA87194","EVID-798F548D6E877B362DF24116","EVID-1116318FCAEEE6C427983F44","EVID-13EB4B4FF84410D28683254C","EVID-21334DD8CB15A285F6C275C3","EVID-AC8BB4FF1601DC693A4FC67D","EVID-D9753C2D5E31F0E204F772E6","EVID-AEC33BC02A330A7D397D1BA5","EVID-7509E42EBDD3C2025EEECD35"]</t>
        </is>
      </c>
      <c r="AU50" s="22" t="inlineStr">
        <is>
          <t>{"EVID-1116318FCAEEE6C427983F44":{"comparator":"&lt;= safe","epoch_scope":"CURRENT","evidence_id":"EVID-1116318FCAEEE6C427983F44","interpretation":"Queue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epoch","source":"system.query.history","source_field":"waiting_at_capacity_duration_ms","threshold":0.5,"unit":"%","value":0.0},"EVID-13EB4B4FF84410D28683254C":{"comparator":"&lt;= safe","epoch_scope":"CURRENT","evidence_id":"EVID-13EB4B4FF84410D28683254C","interpretation":"Queue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epoch","source":"system.query.history","source_field":"waiting_at_capacity_duration_ms","threshold":5000,"unit":"ms","value":0},"EVID-21334DD8CB15A285F6C275C3":{"comparator":"&gt;= blocker","epoch_scope":"CURRENT","evidence_id":"EVID-21334DD8CB15A285F6C275C3","interpretation":"Sustained scale pressure blocks minimum reduction.","metric":"time_at_max_pct","observation_window":"current epoch","source":"system.compute.warehouse_events","source_field":"cluster_count","threshold":20.0,"unit":"%","value":0.0},"EVID-6767B2DC53AFEA546EA87194":{"comparator":"","epoch_scope":"CURRENT","evidence_id":"EVID-6767B2DC53AFEA546EA87194","interpretation":"Configured minimum scale.","metric":"min_clusters","observation_window":"current epoch","source":"system.compute.warehouses","source_field":"min_clusters","threshold":null,"unit":"value","value":1},"EVID-7509E42EBDD3C2025EEECD35":{"comparator":"","epoch_scope":"CURRENT","evidence_id":"EVID-7509E42EBDD3C2025EEECD35","interpretation":"Calendar-day coverage available to the forward cost model.","metric":"cost_history_days","observation_window":"current_epoch","source":"system.billing.usage","source_field":"usage_date","threshold":null,"unit":"days","value":269},"EVID-798F548D6E877B362DF24116":{"comparator":"&gt;= reduction signal","epoch_scope":"CURRENT","evidence_id":"EVID-798F548D6E877B362DF24116","interpretation":"How often the warehouse sits at its minimum.","metric":"time_at_min_pct","observation_window":"current epoch","source":"system.compute.warehouse_events","source_field":"cluster_count","threshold":25.0,"unit":"%","value":0.0},"EVID-AC8BB4FF1601DC693A4FC67D":{"comparator":"","epoch_scope":"CURRENT","evidence_id":"EVID-AC8BB4FF1601DC693A4FC67D","interpretation":"Observed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price","threshold":null,"unit":"USD","value":45760.0},"EVID-AEC33BC02A330A7D397D1BA5":{"comparator":"","epoch_scope":"CURRENT","evidence_id":"EVID-AEC33BC02A330A7D397D1BA5","interpretation":"Forward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0.0},"EVID-D9753C2D5E31F0E204F772E6":{"comparator":"","epoch_scope":"CURRENT","evidence_id":"EVID-D9753C2D5E31F0E204F772E6","interpretation":"No-change forward DBU cost forecast anchored to the current configuration epoch.","metric":"forward_dbu_cost_365d","observation_window":"forward_365d","source":"derived","source_field":"epoch-runrate-v2.7","threshold":null,"unit":"USD","value":52000.0}}</t>
        </is>
      </c>
      <c r="AV50" s="22" t="inlineStr">
        <is>
          <t>[{"comparator":"&gt;= reduction signal","evidence_id":"EVID-798F548D6E877B362DF24116","metric":"time_at_min_pct","threshold":25.0},{"comparator":"&lt;= safe","evidence_id":"EVID-1116318FCAEEE6C427983F44","metric":"queued_query_pct_30","threshold":0.5},{"comparator":"&lt;= safe","evidence_id":"EVID-13EB4B4FF84410D28683254C","metric":"p95_wait_capacity_ms_when_queued_30","threshold":5000},{"comparator":"&gt;= blocker","evidence_id":"EVID-21334DD8CB15A285F6C275C3","metric":"time_at_max_pct","threshold":20.0}]</t>
        </is>
      </c>
      <c r="AW50" s="22" t="inlineStr">
        <is>
          <t>[{"condition":null,"dependency_type":"KNOB","ref_id":"warehouse_size"},{"condition":null,"dependency_type":"KNOB","ref_id":"max_clusters"}]</t>
        </is>
      </c>
      <c r="AX50" s="22" t="inlineStr">
        <is>
          <t>[]</t>
        </is>
      </c>
      <c r="AY50" s="22" t="inlineStr">
        <is>
          <t>[]</t>
        </is>
      </c>
      <c r="AZ50" s="22" t="inlineStr">
        <is>
          <t>[]</t>
        </is>
      </c>
      <c r="BA50" s="22" t="inlineStr">
        <is>
          <t>[]</t>
        </is>
      </c>
    </row>
    <row r="51" ht="32" customHeight="1">
      <c r="A51" s="14" t="inlineStr">
        <is>
          <t>PKG-127DD763EAF773382520242A</t>
        </is>
      </c>
      <c r="B51" s="14" t="inlineStr">
        <is>
          <t>CAND-EB4C0826388DAF0095655F04</t>
        </is>
      </c>
      <c r="C51" s="14" t="inlineStr">
        <is>
          <t>WH-AUTOSTOP-ASSESS-001</t>
        </is>
      </c>
      <c r="D51" s="14" t="inlineStr">
        <is>
          <t>1234567890123456</t>
        </is>
      </c>
      <c r="E51" s="14" t="inlineStr">
        <is>
          <t>wh-synth-008</t>
        </is>
      </c>
      <c r="F51" s="15" t="inlineStr">
        <is>
          <t>Serverless Analytics</t>
        </is>
      </c>
      <c r="G51" s="16" t="inlineStr">
        <is>
          <t>serverless-analytics@databricks.example</t>
        </is>
      </c>
      <c r="H51" s="14" t="inlineStr">
        <is>
          <t>EPOCH-A2B21AACB14B0C5F3EA18AB5</t>
        </is>
      </c>
      <c r="I51" s="18" t="inlineStr">
        <is>
          <t>auto_stop_minutes</t>
        </is>
      </c>
      <c r="J51" s="18" t="inlineStr">
        <is>
          <t>NO_CHANGE</t>
        </is>
      </c>
      <c r="K51" s="15" t="inlineStr">
        <is>
          <t>COST</t>
        </is>
      </c>
      <c r="L51" s="15" t="n">
        <v>10</v>
      </c>
      <c r="M51" s="15" t="n">
        <v>10</v>
      </c>
      <c r="N51" s="15" t="inlineStr">
        <is>
          <t>Current auto-stop is already at or below the deterministic target.</t>
        </is>
      </c>
      <c r="O51" s="21" t="n">
        <v>0.8</v>
      </c>
      <c r="P51" s="18" t="inlineStr">
        <is>
          <t>HIGH</t>
        </is>
      </c>
      <c r="Q51" s="18" t="b">
        <v>1</v>
      </c>
      <c r="R51" s="16" t="inlineStr">
        <is>
          <t>USD</t>
        </is>
      </c>
      <c r="S51" s="18" t="inlineStr">
        <is>
          <t>NO_CHANGE</t>
        </is>
      </c>
      <c r="T51" s="19" t="n">
        <v>52000</v>
      </c>
      <c r="U51" s="19" t="n">
        <v>0</v>
      </c>
      <c r="V51" s="19" t="n">
        <v>52000</v>
      </c>
      <c r="W51" s="19" t="n">
        <v>0</v>
      </c>
      <c r="X51" s="19" t="n">
        <v>0</v>
      </c>
      <c r="Y51" s="19" t="n">
        <v>0</v>
      </c>
      <c r="Z51" s="19" t="n">
        <v>0</v>
      </c>
      <c r="AA51" s="19" t="n">
        <v>0</v>
      </c>
      <c r="AB51" s="19" t="n">
        <v>0</v>
      </c>
      <c r="AC51" s="19" t="n">
        <v>0</v>
      </c>
      <c r="AD51" s="19" t="n">
        <v>0</v>
      </c>
      <c r="AE51" s="19" t="n">
        <v>0</v>
      </c>
      <c r="AF51" s="19" t="n">
        <v>52000</v>
      </c>
      <c r="AG51" s="19" t="n">
        <v>52000</v>
      </c>
      <c r="AH51" s="19" t="n">
        <v>52000</v>
      </c>
      <c r="AI51" s="18" t="b">
        <v>0</v>
      </c>
      <c r="AJ51" s="18" t="inlineStr">
        <is>
          <t>NOT_APPLIED</t>
        </is>
      </c>
      <c r="AK51" s="16" t="inlineStr">
        <is>
          <t>—</t>
        </is>
      </c>
      <c r="AL51" s="18" t="inlineStr">
        <is>
          <t>—</t>
        </is>
      </c>
      <c r="AM51" s="19" t="inlineStr">
        <is>
          <t>UNAVAILABLE</t>
        </is>
      </c>
      <c r="AN51" s="19" t="inlineStr">
        <is>
          <t>UNAVAILABLE</t>
        </is>
      </c>
      <c r="AO51" s="19" t="inlineStr">
        <is>
          <t>UNAVAILABLE</t>
        </is>
      </c>
      <c r="AP51" s="19" t="inlineStr">
        <is>
          <t>UNAVAILABLE</t>
        </is>
      </c>
      <c r="AQ51" s="18" t="inlineStr">
        <is>
          <t>—</t>
        </is>
      </c>
      <c r="AR51" s="15" t="inlineStr">
        <is>
          <t>auto_stop_minutes &gt; target 10; idle_gap_count &gt;= evidence minimum 30; cluster_minutes &gt;= evidence minimum 1.0; p95_wait_compute_ms_when_waited_30 &gt;= cold-start blocker 60000; starts_per_active_day_30 &gt;= cold-start blocker 0.5</t>
        </is>
      </c>
      <c r="AS51" s="22" t="inlineStr">
        <is>
          <t>{"coverage":1.0,"epoch_maturity":1.0,"sample":1.0,"signal":0.7,"stability":0.91}</t>
        </is>
      </c>
      <c r="AT51" s="22" t="inlineStr">
        <is>
          <t>["EVID-AA18BAE8BDFA353021FAA175","EVID-82C9597A7E863C89ACD47773","EVID-9A80D9741075BE7C0A437259","EVID-163D38CEFC5E02464C492820","EVID-16D2A9F49BA8DA0CCB7F9646","EVID-01337F937AD5E33DC77EC575","EVID-F4D8D4F24B968E2BDE359E7B","EVID-DB06FB4F1E8030A7C256EE4C","EVID-AC8BB4FF1601DC693A4FC67D","EVID-D9753C2D5E31F0E204F772E6","EVID-AEC33BC02A330A7D397D1BA5","EVID-7509E42EBDD3C2025EEECD35"]</t>
        </is>
      </c>
      <c r="AU51" s="22" t="inlineStr">
        <is>
          <t>{"EVID-01337F937AD5E33DC77EC575":{"comparator":"&gt;= cold-start blocker","epoch_scope":"CURRENT","evidence_id":"EVID-01337F937AD5E33DC77EC575","interpretation":"Cold-start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epoch","source":"system.query.history","source_field":"waiting_for_compute_duration_ms","threshold":60000,"unit":"ms","value":0},"EVID-163D38CEFC5E02464C492820":{"comparator":"&gt;= evidence minimum","epoch_scope":"CURRENT","evidence_id":"EVID-163D38CEFC5E02464C492820","interpretation":"Observed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56000.0},"EVID-16D2A9F49BA8DA0CCB7F9646":{"comparator":"","epoch_scope":"CURRENT","evidence_id":"EVID-16D2A9F49BA8DA0CCB7F9646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0},"EVID-7509E42EBDD3C2025EEECD35":{"comparator":"","epoch_scope":"CURRENT","evidence_id":"EVID-7509E42EBDD3C2025EEECD35","interpretation":"Calendar-day coverage available to the forward cost model.","metric":"cost_history_days","observation_window":"current_epoch","source":"system.billing.usage","source_field":"usage_date","threshold":null,"unit":"days","value":269},"EVID-82C9597A7E863C89ACD47773":{"comparator":"","epoch_scope":"CURRENT","evidence_id":"EVID-82C9597A7E863C89ACD47773","interpretation":"Activity density selects the auto-stop target.","metric":"queries_per_active_day_30","observation_window":"last 30 days within current epoch","source":"system.query.history","source_field":"start_time","threshold":null,"unit":"queries/day","value":733.33},"EVID-9A80D9741075BE7C0A437259":{"comparator":"&gt;= evidence minimum","epoch_scope":"CURRENT","evidence_id":"EVID-9A80D9741075BE7C0A437259","interpretation":"Non-overlapping inter-query gap sample supporting the auto-stop counterfactual.","metric":"idle_gap_count","observation_window":"current epoch","source":"system.query.history","source_field":"start_time/end_time","threshold":30,"unit":"gaps","value":880},"EVID-AA18BAE8BDFA353021FAA175":{"comparator":"&gt; target","epoch_scope":"CURRENT","evidence_id":"EVID-AA18BAE8BDFA353021FAA175","interpretation":"Current idle termination setting versus deterministic policy target.","metric":"auto_stop_minutes","observation_window":"current epoch","source":"system.compute.warehouses","source_field":"auto_stop_minutes","threshold":10,"unit":"minutes","value":10},"EVID-AC8BB4FF1601DC693A4FC67D":{"comparator":"","epoch_scope":"CURRENT","evidence_id":"EVID-AC8BB4FF1601DC693A4FC67D","interpretation":"Observed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price","threshold":null,"unit":"USD","value":45760.0},"EVID-AEC33BC02A330A7D397D1BA5":{"comparator":"","epoch_scope":"CURRENT","evidence_id":"EVID-AEC33BC02A330A7D397D1BA5","interpretation":"Forward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0.0},"EVID-D9753C2D5E31F0E204F772E6":{"comparator":"","epoch_scope":"CURRENT","evidence_id":"EVID-D9753C2D5E31F0E204F772E6","interpretation":"No-change forward DBU cost forecast anchored to the current configuration epoch.","metric":"forward_dbu_cost_365d","observation_window":"forward_365d","source":"derived","source_field":"epoch-runrate-v2.7","threshold":null,"unit":"USD","value":52000.0},"EVID-DB06FB4F1E8030A7C256EE4C":{"comparator":"","epoch_scope":"CURRENT","evidence_id":"EVID-DB06FB4F1E8030A7C256EE4C","interpretation":"Estimated additional off-time at the candidate target.","metric":"estimated_additional_off_minutes","observation_window":"current epoch","source":"system.query.history","source_field":"inter-query gap","threshold":null,"unit":"minutes","value":1920.0},"EVID-F4D8D4F24B968E2BDE359E7B":{"comparator":"&gt;= cold-start blocker","epoch_scope":"CURRENT","evidence_id":"EVID-F4D8D4F24B968E2BDE359E7B","interpretation":"Restart frequency guardrail.","metric":"starts_per_active_day_30","observation_window":"last 30 days within current epoch","source":"system.compute.warehouse_events","source_field":"event_type=STARTING","threshold":0.5,"unit":"starts/day","value":0.0}}</t>
        </is>
      </c>
      <c r="AV51" s="22" t="inlineStr">
        <is>
          <t>[{"comparator":"&gt; target","evidence_id":"EVID-AA18BAE8BDFA353021FAA175","metric":"auto_stop_minutes","threshold":10},{"comparator":"&gt;= evidence minimum","evidence_id":"EVID-9A80D9741075BE7C0A437259","metric":"idle_gap_count","threshold":30},{"comparator":"&gt;= evidence minimum","evidence_id":"EVID-163D38CEFC5E02464C492820","metric":"cluster_minutes","threshold":1.0},{"comparator":"&gt;= cold-start blocker","evidence_id":"EVID-01337F937AD5E33DC77EC575","metric":"p95_wait_compute_ms_when_waited_30","threshold":60000},{"comparator":"&gt;= cold-start blocker","evidence_id":"EVID-F4D8D4F24B968E2BDE359E7B","metric":"starts_per_active_day_30","threshold":0.5}]</t>
        </is>
      </c>
      <c r="AW51" s="22" t="inlineStr">
        <is>
          <t>[{"condition":null,"dependency_type":"KNOB","ref_id":"min_clusters"}]</t>
        </is>
      </c>
      <c r="AX51" s="22" t="inlineStr">
        <is>
          <t>[]</t>
        </is>
      </c>
      <c r="AY51" s="22" t="inlineStr">
        <is>
          <t>[]</t>
        </is>
      </c>
      <c r="AZ51" s="22" t="inlineStr">
        <is>
          <t>[]</t>
        </is>
      </c>
      <c r="BA51" s="22" t="inlineStr">
        <is>
          <t>[]</t>
        </is>
      </c>
    </row>
    <row r="52" ht="32" customHeight="1">
      <c r="A52" s="14" t="inlineStr">
        <is>
          <t>PKG-127DD763EAF773382520242A</t>
        </is>
      </c>
      <c r="B52" s="14" t="inlineStr">
        <is>
          <t>CAND-FF7A26AD3267B8B24B7DDE29</t>
        </is>
      </c>
      <c r="C52" s="14" t="inlineStr">
        <is>
          <t>WH-PRO-MIGRATE-001</t>
        </is>
      </c>
      <c r="D52" s="14" t="inlineStr">
        <is>
          <t>1234567890123456</t>
        </is>
      </c>
      <c r="E52" s="14" t="inlineStr">
        <is>
          <t>wh-synth-008</t>
        </is>
      </c>
      <c r="F52" s="15" t="inlineStr">
        <is>
          <t>Serverless Analytics</t>
        </is>
      </c>
      <c r="G52" s="16" t="inlineStr">
        <is>
          <t>serverless-analytics@databricks.example</t>
        </is>
      </c>
      <c r="H52" s="14" t="inlineStr">
        <is>
          <t>EPOCH-A2B21AACB14B0C5F3EA18AB5</t>
        </is>
      </c>
      <c r="I52" s="18" t="inlineStr">
        <is>
          <t>warehouse_type</t>
        </is>
      </c>
      <c r="J52" s="18" t="inlineStr">
        <is>
          <t>TEST_REQUIRED</t>
        </is>
      </c>
      <c r="K52" s="15" t="inlineStr">
        <is>
          <t>MIGRATION, COST_AND_PERFORMANCE, OPERATIONS</t>
        </is>
      </c>
      <c r="L52" s="15" t="inlineStr">
        <is>
          <t>SERVERLESS</t>
        </is>
      </c>
      <c r="M52" s="15" t="inlineStr">
        <is>
          <t>PRO</t>
        </is>
      </c>
      <c r="N52" s="15" t="inlineStr">
        <is>
          <t>Pro is evaluated as an alternate migration experiment for Serverless warehouses. The estimate is pre-canary and compatibility remains a deterministic gate.</t>
        </is>
      </c>
      <c r="O52" s="21" t="n">
        <v>0.78</v>
      </c>
      <c r="P52" s="18" t="inlineStr">
        <is>
          <t>MEDIUM</t>
        </is>
      </c>
      <c r="Q52" s="18" t="b">
        <v>1</v>
      </c>
      <c r="R52" s="16" t="inlineStr">
        <is>
          <t>USD</t>
        </is>
      </c>
      <c r="S52" s="18" t="inlineStr">
        <is>
          <t>COST_INCREASE</t>
        </is>
      </c>
      <c r="T52" s="19" t="n">
        <v>52000</v>
      </c>
      <c r="U52" s="19" t="n">
        <v>0</v>
      </c>
      <c r="V52" s="19" t="n">
        <v>52000</v>
      </c>
      <c r="W52" s="19" t="n">
        <v>-26156.13</v>
      </c>
      <c r="X52" s="19" t="n">
        <v>-16386.62</v>
      </c>
      <c r="Y52" s="19" t="n">
        <v>32460.97</v>
      </c>
      <c r="Z52" s="19" t="n">
        <v>-10837.65</v>
      </c>
      <c r="AA52" s="19" t="n">
        <v>-9482.940000000001</v>
      </c>
      <c r="AB52" s="19" t="n">
        <v>-2709.41</v>
      </c>
      <c r="AC52" s="19" t="n">
        <v>-36993.78</v>
      </c>
      <c r="AD52" s="19" t="n">
        <v>-25869.56</v>
      </c>
      <c r="AE52" s="19" t="n">
        <v>29751.56</v>
      </c>
      <c r="AF52" s="19" t="n">
        <v>22248.44</v>
      </c>
      <c r="AG52" s="19" t="n">
        <v>77869.56</v>
      </c>
      <c r="AH52" s="19" t="n">
        <v>88993.78</v>
      </c>
      <c r="AI52" s="18" t="b">
        <v>0</v>
      </c>
      <c r="AJ52" s="18" t="inlineStr">
        <is>
          <t>NOT_APPLIED</t>
        </is>
      </c>
      <c r="AK52" s="16" t="inlineStr">
        <is>
          <t>—</t>
        </is>
      </c>
      <c r="AL52" s="18" t="inlineStr">
        <is>
          <t>—</t>
        </is>
      </c>
      <c r="AM52" s="19" t="inlineStr">
        <is>
          <t>UNAVAILABLE</t>
        </is>
      </c>
      <c r="AN52" s="19" t="inlineStr">
        <is>
          <t>UNAVAILABLE</t>
        </is>
      </c>
      <c r="AO52" s="19" t="inlineStr">
        <is>
          <t>UNAVAILABLE</t>
        </is>
      </c>
      <c r="AP52" s="19" t="inlineStr">
        <is>
          <t>UNAVAILABLE</t>
        </is>
      </c>
      <c r="AQ52" s="18" t="inlineStr">
        <is>
          <t>—</t>
        </is>
      </c>
      <c r="AR52" s="15" t="inlineStr">
        <is>
          <t>No numeric threshold</t>
        </is>
      </c>
      <c r="AS52" s="22" t="inlineStr">
        <is>
          <t>{"coverage":1.0,"epoch_maturity":1.0,"sample":1.0,"signal":1.0,"stability":0.91}</t>
        </is>
      </c>
      <c r="AT52" s="22" t="inlineStr">
        <is>
          <t>["EVID-A8308230B1476EEE1C7C1CD8","EVID-5DEEAD19532E64C0BBBA64A9","EVID-998294748DD31CF5089C376A","EVID-B8F98E64B70FB348AB5F2BB4","EVID-8D49DCB561BC25C03FAD67EC","EVID-33E061A2CE91CD7F047CEC55","EVID-2EA82A5DF902436D5F2AC6F5","EVID-D60301ABD8C8BE18489743FD","EVID-B6F105CC07A5E815778807D4","EVID-010ABDFA627B23B226A3DE39","EVID-4253557C05392B6E40ABDFE2","EVID-399A9B3F6C7C397202C68C56","EVID-D29755684368C6080721CFC3","EVID-AC8BB4FF1601DC693A4FC67D","EVID-D9753C2D5E31F0E204F772E6","EVID-AEC33BC02A330A7D397D1BA5","EVID-7509E42EBDD3C2025EEECD35"]</t>
        </is>
      </c>
      <c r="AU52" s="22" t="inlineStr">
        <is>
          <t>{"EVID-010ABDFA627B23B226A3DE39":{"comparator":"","epoch_scope":"CURRENT","evidence_id":"EVID-010ABDFA627B23B226A3DE39","interpretation":"Power BI client workload mix context.","metric":"power_bi_queries_30","observation_window":"last 30 days within current epoch","source":"system.query.history","source_field":"client_application","threshold":null,"unit":"queries","value":5500},"EVID-2EA82A5DF902436D5F2AC6F5":{"comparator":"","epoch_scope":"CURRENT","evidence_id":"EVID-2EA82A5DF902436D5F2AC6F5","interpretation":"Genie workload mix context.","metric":"genie_queries_30","observation_window":"last 30 days within current epoch","source":"system.query.history","source_field":"query_source.genie_space_id","threshold":null,"unit":"queries","value":0},"EVID-33E061A2CE91CD7F047CEC55":{"comparator":"","epoch_scope":"CURRENT","evidence_id":"EVID-33E061A2CE91CD7F047CEC55","interpretation":"Notebook workload mix context.","metric":"notebook_queries_30","observation_window":"last 30 days within current epoch","source":"system.query.history","source_field":"query_source.notebook_id","threshold":null,"unit":"queries","value":0},"EVID-399A9B3F6C7C397202C68C56":{"comparator":"","epoch_scope":"CURRENT","evidence_id":"EVID-399A9B3F6C7C397202C68C56","interpretation":"Coverage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epoch","source":"system.query.history","source_field":"statement_text","threshold":null,"unit":"%","value":100.0},"EVID-4253557C05392B6E40ABDFE2":{"comparator":"","epoch_scope":"CURRENT","evidence_id":"EVID-4253557C05392B6E40ABDFE2","interpretation":"Tableau client workload mix context.","metric":"tableau_queries_30","observation_window":"last 30 days within current epoch","source":"system.query.history","source_field":"client_application","threshold":null,"unit":"queries","value":0},"EVID-5DEEAD19532E64C0BBBA64A9":{"comparator":"","epoch_scope":"CURRENT","evidence_id":"EVID-5DEEAD19532E64C0BBBA64A9","interpretation":"Observed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days","source":"system.billing.usage","source_field":"product_features.is_serverless","threshold":null,"unit":"%","value":100.0},"EVID-7509E42EBDD3C2025EEECD35":{"comparator":"","epoch_scope":"CURRENT","evidence_id":"EVID-7509E42EBDD3C2025EEECD35","interpretation":"Calendar-day coverage available to the forward cost model.","metric":"cost_history_days","observation_window":"current_epoch","source":"system.billing.usage","source_field":"usage_date","threshold":null,"unit":"days","value":269},"EVID-8D49DCB561BC25C03FAD67EC":{"comparator":"","epoch_scope":"CURRENT","evidence_id":"EVID-8D49DCB561BC25C03FAD67EC","interpretation":"Job workload mix context.","metric":"job_queries_30","observation_window":"last 30 days within current epoch","source":"system.query.history","source_field":"query_source.job_info.job_id","threshold":null,"unit":"queries","value":0},"EVID-998294748DD31CF5089C376A":{"comparator":"","epoch_scope":"CURRENT","evidence_id":"EVID-998294748DD31CF5089C376A","interpretation":"Query-tag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epoch","source":"system.query.history","source_field":"query_tags","threshold":null,"unit":"%","value":70.0},"EVID-A8308230B1476EEE1C7C1CD8":{"comparator":"","epoch_scope":"CURRENT","evidence_id":"EVID-A8308230B1476EEE1C7C1CD8","interpretation":"Current warehouse type.","metric":"warehouse_type","observation_window":"current epoch","source":"system.compute.warehouses","source_field":"warehouse_type","threshold":null,"unit":"value","value":"SERVERLESS"},"EVID-AC8BB4FF1601DC693A4FC67D":{"comparator":"","epoch_scope":"CURRENT","evidence_id":"EVID-AC8BB4FF1601DC693A4FC67D","interpretation":"Observed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price","threshold":null,"unit":"USD","value":45760.0},"EVID-AEC33BC02A330A7D397D1BA5":{"comparator":"","epoch_scope":"CURRENT","evidence_id":"EVID-AEC33BC02A330A7D397D1BA5","interpretation":"Forward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0.0},"EVID-B6F105CC07A5E815778807D4":{"comparator":"","epoch_scope":"CURRENT","evidence_id":"EVID-B6F105CC07A5E815778807D4","interpretation":"Databricks SQL editor/query workload mix context.","metric":"sql_editor_queries_30","observation_window":"last 30 days within current epoch","source":"system.query.history","source_field":"query_source.sql_query_id","threshold":null,"unit":"queries","value":1760},"EVID-B8F98E64B70FB348AB5F2BB4":{"comparator":"","epoch_scope":"CURRENT","evidence_id":"EVID-B8F98E64B70FB348AB5F2BB4","interpretation":"Dashboard workload mix context.","metric":"dashboard_queries_30","observation_window":"last 30 days within current epoch","source":"system.query.history","source_field":"query_source.dashboard_id","threshold":null,"unit":"queries","value":16500},"EVID-D29755684368C6080721CFC3":{"comparator":"","epoch_scope":"CURRENT","evidence_id":"EVID-D29755684368C6080721CFC3","interpretation":"Potential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only)","threshold":null,"unit":"queries","value":0},"EVID-D60301ABD8C8BE18489743FD":{"comparator":"","epoch_scope":"CURRENT","evidence_id":"EVID-D60301ABD8C8BE18489743FD","interpretation":"Alert workload mix context.","metric":"alert_queries_30","observation_window":"last 30 days within current epoch","source":"system.query.history","source_field":"query_source.alert_id","threshold":null,"unit":"queries","value":0},"EVID-D9753C2D5E31F0E204F772E6":{"comparator":"","epoch_scope":"CURRENT","evidence_id":"EVID-D9753C2D5E31F0E204F772E6","interpretation":"No-change forward DBU cost forecast anchored to the current configuration epoch.","metric":"forward_dbu_cost_365d","observation_window":"forward_365d","source":"derived","source_field":"epoch-runrate-v2.7","threshold":null,"unit":"USD","value":52000.0}}</t>
        </is>
      </c>
      <c r="AV52" s="22" t="inlineStr">
        <is>
          <t>[]</t>
        </is>
      </c>
      <c r="AW52" s="22" t="inlineStr">
        <is>
          <t>[]</t>
        </is>
      </c>
      <c r="AX52" s="22" t="inlineStr">
        <is>
          <t>["warehouse_size","max_clusters","min_clusters","auto_stop_minutes"]</t>
        </is>
      </c>
      <c r="AY52" s="22" t="inlineStr">
        <is>
          <t>["A_B_COST_PERFORMANCE_VALIDATION_REQUIRED"]</t>
        </is>
      </c>
      <c r="AZ52" s="22" t="inlineStr">
        <is>
          <t>[{"execution_state":"READY_FOR_CANARY","scenario_id":"SCN-0DE5AFA24E42CA4905AA2E90","scenario_name":"Plan B — Pro migration experiment","step":2}]</t>
        </is>
      </c>
      <c r="BA52" s="22" t="inlineStr">
        <is>
          <t>[]</t>
        </is>
      </c>
    </row>
    <row r="53" ht="32" customHeight="1">
      <c r="A53" s="14" t="inlineStr">
        <is>
          <t>PKG-B2D290A3E27C723FA701C058</t>
        </is>
      </c>
      <c r="B53" s="14" t="inlineStr">
        <is>
          <t>CAND-8C1381C8202F9B850CD6E472</t>
        </is>
      </c>
      <c r="C53" s="14" t="inlineStr">
        <is>
          <t>WH-CHANNEL-CURRENT-001</t>
        </is>
      </c>
      <c r="D53" s="14" t="inlineStr">
        <is>
          <t>2234567890123456</t>
        </is>
      </c>
      <c r="E53" s="14" t="inlineStr">
        <is>
          <t>wh-synth-010</t>
        </is>
      </c>
      <c r="F53" s="15" t="inlineStr">
        <is>
          <t>Cold Start BI</t>
        </is>
      </c>
      <c r="G53" s="16" t="inlineStr">
        <is>
          <t>bi-platform@databricks.example</t>
        </is>
      </c>
      <c r="H53" s="14" t="inlineStr">
        <is>
          <t>EPOCH-C7F9B1F0FFBC8326294AA75D</t>
        </is>
      </c>
      <c r="I53" s="18" t="inlineStr">
        <is>
          <t>warehouse_channel</t>
        </is>
      </c>
      <c r="J53" s="18" t="inlineStr">
        <is>
          <t>NO_CHANGE</t>
        </is>
      </c>
      <c r="K53" s="15" t="inlineStr">
        <is>
          <t>STABILITY</t>
        </is>
      </c>
      <c r="L53" s="15" t="inlineStr">
        <is>
          <t>CURRENT</t>
        </is>
      </c>
      <c r="M53" s="15" t="inlineStr">
        <is>
          <t>CURRENT</t>
        </is>
      </c>
      <c r="N53" s="15" t="inlineStr">
        <is>
          <t>No channel change indicated.</t>
        </is>
      </c>
      <c r="O53" s="21" t="n">
        <v>0.8</v>
      </c>
      <c r="P53" s="18" t="inlineStr">
        <is>
          <t>HIGH</t>
        </is>
      </c>
      <c r="Q53" s="18" t="b">
        <v>1</v>
      </c>
      <c r="R53" s="16" t="inlineStr">
        <is>
          <t>USD</t>
        </is>
      </c>
      <c r="S53" s="18" t="inlineStr">
        <is>
          <t>NO_CHANGE</t>
        </is>
      </c>
      <c r="T53" s="19" t="n">
        <v>17000</v>
      </c>
      <c r="U53" s="19" t="n">
        <v>5488.19</v>
      </c>
      <c r="V53" s="19" t="n">
        <v>22488.19</v>
      </c>
      <c r="W53" s="19" t="n">
        <v>0</v>
      </c>
      <c r="X53" s="19" t="n">
        <v>0</v>
      </c>
      <c r="Y53" s="19" t="n">
        <v>0</v>
      </c>
      <c r="Z53" s="19" t="n">
        <v>0</v>
      </c>
      <c r="AA53" s="19" t="n">
        <v>0</v>
      </c>
      <c r="AB53" s="19" t="n">
        <v>0</v>
      </c>
      <c r="AC53" s="19" t="n">
        <v>0</v>
      </c>
      <c r="AD53" s="19" t="n">
        <v>0</v>
      </c>
      <c r="AE53" s="19" t="n">
        <v>0</v>
      </c>
      <c r="AF53" s="19" t="n">
        <v>22488.19</v>
      </c>
      <c r="AG53" s="19" t="n">
        <v>22488.19</v>
      </c>
      <c r="AH53" s="19" t="n">
        <v>22488.19</v>
      </c>
      <c r="AI53" s="18" t="b">
        <v>0</v>
      </c>
      <c r="AJ53" s="18" t="inlineStr">
        <is>
          <t>NOT_APPLIED</t>
        </is>
      </c>
      <c r="AK53" s="16" t="inlineStr">
        <is>
          <t>—</t>
        </is>
      </c>
      <c r="AL53" s="18" t="inlineStr">
        <is>
          <t>—</t>
        </is>
      </c>
      <c r="AM53" s="19" t="inlineStr">
        <is>
          <t>UNAVAILABLE</t>
        </is>
      </c>
      <c r="AN53" s="19" t="inlineStr">
        <is>
          <t>UNAVAILABLE</t>
        </is>
      </c>
      <c r="AO53" s="19" t="inlineStr">
        <is>
          <t>UNAVAILABLE</t>
        </is>
      </c>
      <c r="AP53" s="19" t="inlineStr">
        <is>
          <t>UNAVAILABLE</t>
        </is>
      </c>
      <c r="AQ53" s="18" t="inlineStr">
        <is>
          <t>—</t>
        </is>
      </c>
      <c r="AR53" s="15" t="inlineStr">
        <is>
          <t>No numeric threshold</t>
        </is>
      </c>
      <c r="AS53" s="22" t="inlineStr">
        <is>
          <t>{"coverage":1.0,"epoch_maturity":1.0,"sample":1.0,"signal":0.7,"stability":0.91}</t>
        </is>
      </c>
      <c r="AT53" s="22" t="inlineStr">
        <is>
          <t>["EVID-45CE0E82B14BDBD37414D241","EVID-F6A16121002CAEDD32814FF8","EVID-544F97BCD83FF9A97476FE07","EVID-E21F9261CD31D2A21EF533E4","EVID-CCA0AB4C53A92C8B3916ABDA"]</t>
        </is>
      </c>
      <c r="AU53" s="22" t="inlineStr">
        <is>
          <t>{"EVID-45CE0E82B14BDBD37414D241":{"comparator":"","epoch_scope":"CURRENT","evidence_id":"EVID-45CE0E82B14BDBD37414D241","interpretation":"Current release channel from the current configuration epoch.","metric":"warehouse_channel","observation_window":"current epoch","source":"system.compute.warehouses","source_field":"warehouse_channel","threshold":null,"unit":"value","value":"CURRENT"},"EVID-544F97BCD83FF9A97476FE07":{"comparator":"","epoch_scope":"CURRENT","evidence_id":"EVID-544F97BCD83FF9A97476FE07","interpretation":"No-change forward DBU cost forecast anchored to the current configuration epoch.","metric":"forward_dbu_cost_365d","observation_window":"forward_365d","source":"derived","source_field":"epoch-runrate-v2.7","threshold":null,"unit":"USD","value":17000.0},"EVID-CCA0AB4C53A92C8B3916ABDA":{"comparator":"","epoch_scope":"CURRENT","evidence_id":"EVID-CCA0AB4C53A92C8B3916ABDA","interpretation":"Calendar-day coverage available to the forward cost model.","metric":"cost_history_days","observation_window":"current_epoch","source":"system.billing.usage","source_field":"usage_date","threshold":null,"unit":"days","value":249},"EVID-E21F9261CD31D2A21EF533E4":{"comparator":"","epoch_scope":"CURRENT","evidence_id":"EVID-E21F9261CD31D2A21EF533E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5488.19},"EVID-F6A16121002CAEDD32814FF8":{"comparator":"","epoch_scope":"CURRENT","evidence_id":"EVID-F6A16121002CAEDD32814FF8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price","threshold":null,"unit":"USD","value":14960.0}}</t>
        </is>
      </c>
      <c r="AV53" s="22" t="inlineStr">
        <is>
          <t>[]</t>
        </is>
      </c>
      <c r="AW53" s="22" t="inlineStr">
        <is>
          <t>[]</t>
        </is>
      </c>
      <c r="AX53" s="22" t="inlineStr">
        <is>
          <t>[]</t>
        </is>
      </c>
      <c r="AY53" s="22" t="inlineStr">
        <is>
          <t>[]</t>
        </is>
      </c>
      <c r="AZ53" s="22" t="inlineStr">
        <is>
          <t>[]</t>
        </is>
      </c>
      <c r="BA53" s="22" t="inlineStr">
        <is>
          <t>[]</t>
        </is>
      </c>
    </row>
    <row r="54" ht="32" customHeight="1">
      <c r="A54" s="14" t="inlineStr">
        <is>
          <t>PKG-B2D290A3E27C723FA701C058</t>
        </is>
      </c>
      <c r="B54" s="14" t="inlineStr">
        <is>
          <t>CAND-B91739B640B2882103617ADC</t>
        </is>
      </c>
      <c r="C54" s="14" t="inlineStr">
        <is>
          <t>WH-SIZE-DOWNSIZE-001</t>
        </is>
      </c>
      <c r="D54" s="14" t="inlineStr">
        <is>
          <t>2234567890123456</t>
        </is>
      </c>
      <c r="E54" s="14" t="inlineStr">
        <is>
          <t>wh-synth-010</t>
        </is>
      </c>
      <c r="F54" s="15" t="inlineStr">
        <is>
          <t>Cold Start BI</t>
        </is>
      </c>
      <c r="G54" s="16" t="inlineStr">
        <is>
          <t>bi-platform@databricks.example</t>
        </is>
      </c>
      <c r="H54" s="14" t="inlineStr">
        <is>
          <t>EPOCH-C7F9B1F0FFBC8326294AA75D</t>
        </is>
      </c>
      <c r="I54" s="18" t="inlineStr">
        <is>
          <t>warehouse_size</t>
        </is>
      </c>
      <c r="J54" s="18" t="inlineStr">
        <is>
          <t>TEST_REQUIRED</t>
        </is>
      </c>
      <c r="K54" s="15" t="inlineStr">
        <is>
          <t>COST</t>
        </is>
      </c>
      <c r="L54" s="15" t="inlineStr">
        <is>
          <t>MEDIUM</t>
        </is>
      </c>
      <c r="M54" s="15" t="inlineStr">
        <is>
          <t>SMALL</t>
        </is>
      </c>
      <c r="N54" s="15" t="inlineStr">
        <is>
          <t>Low spill, queueing, and latency make one-size down a controlled canary candidate; absence of pressure is not proof of SLA safety.</t>
        </is>
      </c>
      <c r="O54" s="21" t="n">
        <v>0.78</v>
      </c>
      <c r="P54" s="18" t="inlineStr">
        <is>
          <t>MEDIUM</t>
        </is>
      </c>
      <c r="Q54" s="18" t="b">
        <v>1</v>
      </c>
      <c r="R54" s="16" t="inlineStr">
        <is>
          <t>USD</t>
        </is>
      </c>
      <c r="S54" s="18" t="inlineStr">
        <is>
          <t>SAVINGS</t>
        </is>
      </c>
      <c r="T54" s="19" t="n">
        <v>17000</v>
      </c>
      <c r="U54" s="19" t="n">
        <v>5488.19</v>
      </c>
      <c r="V54" s="19" t="n">
        <v>22488.19</v>
      </c>
      <c r="W54" s="19" t="n">
        <v>2752.62</v>
      </c>
      <c r="X54" s="19" t="n">
        <v>5050.58</v>
      </c>
      <c r="Y54" s="19" t="n">
        <v>6888.95</v>
      </c>
      <c r="Z54" s="19" t="n">
        <v>1234.84</v>
      </c>
      <c r="AA54" s="19" t="n">
        <v>1920.87</v>
      </c>
      <c r="AB54" s="19" t="n">
        <v>2469.69</v>
      </c>
      <c r="AC54" s="19" t="n">
        <v>3987.46</v>
      </c>
      <c r="AD54" s="19" t="n">
        <v>6971.45</v>
      </c>
      <c r="AE54" s="19" t="n">
        <v>9358.639999999999</v>
      </c>
      <c r="AF54" s="19" t="n">
        <v>13129.55</v>
      </c>
      <c r="AG54" s="19" t="n">
        <v>15516.74</v>
      </c>
      <c r="AH54" s="19" t="n">
        <v>18500.73</v>
      </c>
      <c r="AI54" s="18" t="b">
        <v>0</v>
      </c>
      <c r="AJ54" s="18" t="inlineStr">
        <is>
          <t>NOT_APPLIED</t>
        </is>
      </c>
      <c r="AK54" s="16" t="inlineStr">
        <is>
          <t>—</t>
        </is>
      </c>
      <c r="AL54" s="18" t="inlineStr">
        <is>
          <t>—</t>
        </is>
      </c>
      <c r="AM54" s="19" t="inlineStr">
        <is>
          <t>UNAVAILABLE</t>
        </is>
      </c>
      <c r="AN54" s="19" t="inlineStr">
        <is>
          <t>UNAVAILABLE</t>
        </is>
      </c>
      <c r="AO54" s="19" t="inlineStr">
        <is>
          <t>UNAVAILABLE</t>
        </is>
      </c>
      <c r="AP54" s="19" t="inlineStr">
        <is>
          <t>UNAVAILABLE</t>
        </is>
      </c>
      <c r="AQ54" s="18" t="inlineStr">
        <is>
          <t>—</t>
        </is>
      </c>
      <c r="AR54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54" s="22" t="inlineStr">
        <is>
          <t>{"coverage":1.0,"epoch_maturity":1.0,"sample":1.0,"signal":1.0,"stability":0.91}</t>
        </is>
      </c>
      <c r="AT54" s="22" t="inlineStr">
        <is>
          <t>["EVID-B07C2C16B6BD9A10981E2118","EVID-8E55818AEA4051473E4E572D","EVID-407FA82F270C2032644D2CE0","EVID-95F3AEE2D4248F3B8729BE25","EVID-C58346E61AE97D4F760ABDBD","EVID-605B6814A4D4E829CB5A5B66","EVID-D5CE70495019334C5543184A","EVID-E7AE32B925F94500C2F12FF9","EVID-F6A16121002CAEDD32814FF8","EVID-544F97BCD83FF9A97476FE07","EVID-E21F9261CD31D2A21EF533E4","EVID-CCA0AB4C53A92C8B3916ABDA"]</t>
        </is>
      </c>
      <c r="AU54" s="22" t="inlineStr">
        <is>
          <t>{"EVID-407FA82F270C2032644D2CE0":{"comparator":"&gt;= evidence minimum for upsize","epoch_scope":"CURRENT","evidence_id":"EVID-407FA82F270C2032644D2CE0","interpretation":"Queries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epoch","source":"system.query.history","source_field":"spilled_local_bytes","threshold":20,"unit":"queries","value":0},"EVID-544F97BCD83FF9A97476FE07":{"comparator":"","epoch_scope":"CURRENT","evidence_id":"EVID-544F97BCD83FF9A97476FE07","interpretation":"No-change forward DBU cost forecast anchored to the current configuration epoch.","metric":"forward_dbu_cost_365d","observation_window":"forward_365d","source":"derived","source_field":"epoch-runrate-v2.7","threshold":null,"unit":"USD","value":17000.0},"EVID-605B6814A4D4E829CB5A5B66":{"comparator":"&lt;= downsize-safe","epoch_scope":"CURRENT","evidence_id":"EVID-605B6814A4D4E829CB5A5B66","interpretation":"Tail execution latency guardrail.","metric":"p95_execution_ms_30","observation_window":"last 30 days within current epoch","source":"system.query.history","source_field":"execution_duration_ms","threshold":5000,"unit":"ms","value":3000},"EVID-8E55818AEA4051473E4E572D":{"comparator":"&gt;= upsize signal","epoch_scope":"CURRENT","evidence_id":"EVID-8E55818AEA4051473E4E572D","interpretation":"Frequency of queries spilling to local storage.","metric":"spill_query_pct_30","observation_window":"last 30 days within current epoch","source":"system.query.history","source_field":"spilled_local_bytes","threshold":2.0,"unit":"%","value":0.0},"EVID-95F3AEE2D4248F3B8729BE25":{"comparator":"&gt;= upsize signal","epoch_scope":"CURRENT","evidence_id":"EVID-95F3AEE2D4248F3B8729BE25","interpretation":"Severity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epoch","source":"system.query.history","source_field":"spilled_local_bytes","threshold":1073741824,"unit":"bytes","value":0},"EVID-B07C2C16B6BD9A10981E2118":{"comparator":"","epoch_scope":"CURRENT","evidence_id":"EVID-B07C2C16B6BD9A10981E2118","interpretation":"Current warehouse size.","metric":"warehouse_size","observation_window":"current epoch","source":"system.compute.warehouses","source_field":"warehouse_size","threshold":null,"unit":"value","value":"MEDIUM"},"EVID-C58346E61AE97D4F760ABDBD":{"comparator":"&lt;= downsize-safe","epoch_scope":"CURRENT","evidence_id":"EVID-C58346E61AE97D4F760ABDBD","interpretation":"Concurrency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epoch","source":"system.query.history","source_field":"waiting_at_capacity_duration_ms","threshold":0.5,"unit":"%","value":0.0},"EVID-CCA0AB4C53A92C8B3916ABDA":{"comparator":"","epoch_scope":"CURRENT","evidence_id":"EVID-CCA0AB4C53A92C8B3916ABDA","interpretation":"Calendar-day coverage available to the forward cost model.","metric":"cost_history_days","observation_window":"current_epoch","source":"system.billing.usage","source_field":"usage_date","threshold":null,"unit":"days","value":249},"EVID-D5CE70495019334C5543184A":{"comparator":"&lt;= downsize-safe","epoch_scope":"CURRENT","evidence_id":"EVID-D5CE70495019334C5543184A","interpretation":"Extreme tail execution latency guardrail.","metric":"p99_execution_ms_30","observation_window":"last 30 days within current epoch","source":"system.query.history","source_field":"execution_duration_ms","threshold":30000,"unit":"ms","value":9000},"EVID-E21F9261CD31D2A21EF533E4":{"comparator":"","epoch_scope":"CURRENT","evidence_id":"EVID-E21F9261CD31D2A21EF533E4","interpretation":"Forward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5488.19},"EVID-E7AE32B925F94500C2F12FF9":{"comparator":"","epoch_scope":"CURRENT","evidence_id":"EVID-E7AE32B925F94500C2F12FF9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epoch","source":"system.query.history","source_field":"read_io_cache_percent","threshold":null,"unit":"%","value":35.0},"EVID-F6A16121002CAEDD32814FF8":{"comparator":"","epoch_scope":"CURRENT","evidence_id":"EVID-F6A16121002CAEDD32814FF8","interpretation":"Observed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price","threshold":null,"unit":"USD","value":14960.0}}</t>
        </is>
      </c>
      <c r="AV54" s="22" t="inlineStr">
        <is>
          <t>[{"comparator":"&gt;= upsize signal","evidence_id":"EVID-8E55818AEA4051473E4E572D","metric":"spill_query_pct_30","threshold":2.0},{"comparator":"&gt;= evidence minimum for upsize","evidence_id":"EVID-407FA82F270C2032644D2CE0","metric":"spill_queries_30","threshold":20},{"comparator":"&gt;= upsize signal","evidence_id":"EVID-95F3AEE2D4248F3B8729BE25","metric":"p95_spill_bytes_when_spilled_30","threshold":1073741824},{"comparator":"&lt;= downsize-safe","evidence_id":"EVID-C58346E61AE97D4F760ABDBD","metric":"queued_query_pct_30","threshold":0.5},{"comparator":"&lt;= downsize-safe","evidence_id":"EVID-605B6814A4D4E829CB5A5B66","metric":"p95_execution_ms_30","threshold":5000},{"comparator":"&lt;= downsize-safe","evidence_id":"EVID-D5CE70495019334C5543184A","metric":"p99_execution_ms_30","threshold":30000}]</t>
        </is>
      </c>
      <c r="AW54" s="22" t="inlineStr">
        <is>
          <t>[{"condition":null,"dependency_type":"KNOB","ref_id":"warehouse_channel"}]</t>
        </is>
      </c>
      <c r="AX54" s="22" t="inlineStr">
        <is>
          <t>["max_clusters","min_clusters","auto_stop_minutes"]</t>
        </is>
      </c>
      <c r="AY54" s="22" t="inlineStr">
        <is>
          <t>["A_B_PERFORMANCE_VALIDATION_REQUIRED"]</t>
        </is>
      </c>
      <c r="AZ54" s="22" t="inlineStr">
        <is>
          <t>[{"execution_state":"READY_FOR_CANARY","scenario_id":"SCN-2AD1B1369F3CA903C33A7F0A","scenario_name":"Plan A — Optimize current warehouse type","step":1}]</t>
        </is>
      </c>
      <c r="BA54" s="22" t="inlineStr">
        <is>
          <t>[]</t>
        </is>
      </c>
    </row>
    <row r="55" ht="32" customHeight="1">
      <c r="A55" s="14" t="inlineStr">
        <is>
          <t>PKG-B2D290A3E27C723FA701C058</t>
        </is>
      </c>
      <c r="B55" s="14" t="inlineStr">
        <is>
          <t>CAND-1416408891B7644B4B970F3D</t>
        </is>
      </c>
      <c r="C55" s="14" t="inlineStr">
        <is>
          <t>WH-MAX-CLUSTER-REDUCE-001</t>
        </is>
      </c>
      <c r="D55" s="14" t="inlineStr">
        <is>
          <t>2234567890123456</t>
        </is>
      </c>
      <c r="E55" s="14" t="inlineStr">
        <is>
          <t>wh-synth-010</t>
        </is>
      </c>
      <c r="F55" s="15" t="inlineStr">
        <is>
          <t>Cold Start BI</t>
        </is>
      </c>
      <c r="G55" s="16" t="inlineStr">
        <is>
          <t>bi-platform@databricks.example</t>
        </is>
      </c>
      <c r="H55" s="14" t="inlineStr">
        <is>
          <t>EPOCH-C7F9B1F0FFBC8326294AA75D</t>
        </is>
      </c>
      <c r="I55" s="18" t="inlineStr">
        <is>
          <t>max_clusters</t>
        </is>
      </c>
      <c r="J55" s="18" t="inlineStr">
        <is>
          <t>ACTIONABLE</t>
        </is>
      </c>
      <c r="K55" s="15" t="inlineStr">
        <is>
          <t>COST_GUARDRAIL</t>
        </is>
      </c>
      <c r="L55" s="15" t="n">
        <v>4</v>
      </c>
      <c r="M55" s="15" t="n">
        <v>3</v>
      </c>
      <c r="N55" s="15" t="inlineStr">
        <is>
          <t>The configured ceiling has not been used and queue pressure is low; tighten the guardrail without claiming direct savings.</t>
        </is>
      </c>
      <c r="O55" s="21" t="n">
        <v>0.93</v>
      </c>
      <c r="P55" s="18" t="inlineStr">
        <is>
          <t>HIGH</t>
        </is>
      </c>
      <c r="Q55" s="18" t="b">
        <v>1</v>
      </c>
      <c r="R55" s="16" t="inlineStr">
        <is>
          <t>USD</t>
        </is>
      </c>
      <c r="S55" s="18" t="inlineStr">
        <is>
          <t>NO_CHANGE</t>
        </is>
      </c>
      <c r="T55" s="19" t="n">
        <v>17000</v>
      </c>
      <c r="U55" s="19" t="n">
        <v>5488.19</v>
      </c>
      <c r="V55" s="19" t="n">
        <v>22488.19</v>
      </c>
      <c r="W55" s="19" t="n">
        <v>0</v>
      </c>
      <c r="X55" s="19" t="n">
        <v>0</v>
      </c>
      <c r="Y55" s="19" t="n">
        <v>0</v>
      </c>
      <c r="Z55" s="19" t="n">
        <v>0</v>
      </c>
      <c r="AA55" s="19" t="n">
        <v>0</v>
      </c>
      <c r="AB55" s="19" t="n">
        <v>0</v>
      </c>
      <c r="AC55" s="19" t="n">
        <v>0</v>
      </c>
      <c r="AD55" s="19" t="n">
        <v>0</v>
      </c>
      <c r="AE55" s="19" t="n">
        <v>0</v>
      </c>
      <c r="AF55" s="19" t="n">
        <v>22488.19</v>
      </c>
      <c r="AG55" s="19" t="n">
        <v>22488.19</v>
      </c>
      <c r="AH55" s="19" t="n">
        <v>22488.19</v>
      </c>
      <c r="AI55" s="18" t="b">
        <v>0</v>
      </c>
      <c r="AJ55" s="18" t="inlineStr">
        <is>
          <t>NOT_APPLIED</t>
        </is>
      </c>
      <c r="AK55" s="16" t="inlineStr">
        <is>
          <t>—</t>
        </is>
      </c>
      <c r="AL55" s="18" t="inlineStr">
        <is>
          <t>—</t>
        </is>
      </c>
      <c r="AM55" s="19" t="inlineStr">
        <is>
          <t>UNAVAILABLE</t>
        </is>
      </c>
      <c r="AN55" s="19" t="inlineStr">
        <is>
          <t>UNAVAILABLE</t>
        </is>
      </c>
      <c r="AO55" s="19" t="inlineStr">
        <is>
          <t>UNAVAILABLE</t>
        </is>
      </c>
      <c r="AP55" s="19" t="inlineStr">
        <is>
          <t>UNAVAILABLE</t>
        </is>
      </c>
      <c r="AQ55" s="18" t="inlineStr">
        <is>
          <t>—</t>
        </is>
      </c>
      <c r="AR55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55" s="22" t="inlineStr">
        <is>
          <t>{"coverage":1.0,"epoch_maturity":1.0,"sample":1.0,"signal":1.0,"stability":0.91}</t>
        </is>
      </c>
      <c r="AT55" s="22" t="inlineStr">
        <is>
          <t>["EVID-44CB7956DAC1F37994F238B8","EVID-5C0183A03D3EB756B2D7C05E","EVID-CEE3C740E46B3ED08A890FD4","EVID-C2BC28961D71AEE7B4624583","EVID-28C27F2BFF375CFAC3A26164","EVID-F48024947EFAAED048529938","EVID-F6A16121002CAEDD32814FF8","EVID-544F97BCD83FF9A97476FE07","EVID-E21F9261CD31D2A21EF533E4","EVID-CCA0AB4C53A92C8B3916ABDA"]</t>
        </is>
      </c>
      <c r="AU55" s="22" t="inlineStr">
        <is>
          <t>{"EVID-28C27F2BFF375CFAC3A26164":{"comparator":"&gt;= evidence minimum for increase","epoch_scope":"CURRENT","evidence_id":"EVID-28C27F2BFF375CFAC3A26164","interpretation":"Queries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epoch","source":"system.query.history","source_field":"waiting_at_capacity_duration_ms","threshold":20,"unit":"queries","value":0},"EVID-44CB7956DAC1F37994F238B8":{"comparator":"","epoch_scope":"CURRENT","evidence_id":"EVID-44CB7956DAC1F37994F238B8","interpretation":"Configured concurrency ceiling.","metric":"max_clusters","observation_window":"current epoch","source":"system.compute.warehouses","source_field":"max_clusters","threshold":null,"unit":"value","value":4},"EVID-544F97BCD83FF9A97476FE07":{"comparator":"","epoch_scope":"CURRENT","evidence_id":"EVID-544F97BCD83FF9A97476FE07","interpretation":"No-change forward DBU cost forecast anchored to the current configuration epoch.","metric":"forward_dbu_cost_365d","observation_window":"forward_365d","source":"derived","source_field":"epoch-runrate-v2.7","threshold":null,"unit":"USD","value":17000.0},"EVID-5C0183A03D3EB756B2D7C05E":{"comparator":"","epoch_scope":"CURRENT","evidence_id":"EVID-5C0183A03D3EB756B2D7C05E","interpretation":"Highest observed scale level.","metric":"max_observed_clusters","observation_window":"current epoch","source":"system.compute.warehouse_events","source_field":"cluster_count","threshold":null,"unit":"clusters","value":2},"EVID-C2BC28961D71AEE7B4624583":{"comparator":"&gt;= increase signal","epoch_scope":"CURRENT","evidence_id":"EVID-C2BC28961D71AEE7B4624583","interpretation":"Frequency of capacity queueing.","metric":"queued_query_pct_30","observation_window":"last 30 days within current epoch","source":"system.query.history","source_field":"waiting_at_capacity_duration_ms","threshold":5.0,"unit":"%","value":0.0},"EVID-CCA0AB4C53A92C8B3916ABDA":{"comparator":"","epoch_scope":"CURRENT","evidence_id":"EVID-CCA0AB4C53A92C8B3916ABDA","interpretation":"Calendar-day coverage available to the forward cost model.","metric":"cost_history_days","observation_window":"current_epoch","source":"system.billing.usage","source_field":"usage_date","threshold":null,"unit":"days","value":249},"EVID-CEE3C740E46B3ED08A890FD4":{"comparator":"&lt;= reduce-safe","epoch_scope":"CURRENT","evidence_id":"EVID-CEE3C740E46B3ED08A890FD4","interpretation":"Fraction of running time at configured maximum.","metric":"time_at_max_pct","observation_window":"current epoch","source":"system.compute.warehouse_events","source_field":"cluster_count","threshold":1.0,"unit":"%","value":0.0},"EVID-E21F9261CD31D2A21EF533E4":{"comparator":"","epoch_scope":"CURRENT","evidence_id":"EVID-E21F9261CD31D2A21EF533E4","interpretation":"Forward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unavailable.","metric":"forward_aws_cost_365d","observation_window":"forward_365d","source":"derived","source_field":"aws_current_epoch_cost_model","threshold":null,"unit":"USD","value":5488.19},"EVID-F48024947EFAAED048529938":{"comparator":"&gt;= increase signal","epoch_scope":"CURRENT","evidence_id":"EVID-F48024947EFAAED048529938","interpretation":"Severity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epoch","source":"system.query.history","source_field":"waiting_at_capacity_duration_ms","threshold":30000,"unit":"ms","value":0},"EVID-F6A16121002CAEDD32814FF8":{"comparator":"","epoch_scope":"CURRENT","evidence_id":"EVID-F6A16121002CAEDD32814FF8","interpretation":"Observed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price","threshold":null,"unit":"USD","value":14960.0}}</t>
        </is>
      </c>
      <c r="AV55" s="22" t="inlineStr">
        <is>
          <t>[{"comparator":"&lt;= reduce-safe","evidence_id":"EVID-CEE3C740E46B3ED08A890FD4","metric":"time_at_max_pct","threshold":1.0},{"comparator":"&gt;= increase signal","evidence_id":"EVID-C2BC28961D71AEE7B4624583","metric":"queued_query_pct_30","threshold":5.0},{"comparator":"&gt;= evidence minimum for increase","evidence_id":"EVID-28C27F2BFF375CFAC3A26164","metric":"queued_queries_30","threshold":20},{"comparator":"&gt;= increase signal","evidence_id":"EVID-F48024947EFAAED048529938","metric":"p95_wait_capacity_ms_when_queued_30","threshold":30000}]</t>
        </is>
      </c>
      <c r="AW55" s="22" t="inlineStr">
        <is>
          <t>[{"condition":null,"dependency_type":"KNOB","ref_id":"warehouse_size"}]</t>
        </is>
      </c>
      <c r="AX55" s="22" t="inlineStr">
        <is>
          <t>["min_clusters"]</t>
        </is>
      </c>
      <c r="AY55" s="22" t="inlineStr">
        <is>
          <t>[]</t>
        </is>
      </c>
      <c r="AZ55" s="22" t="inlineStr">
        <is>
          <t>[{"execution_state":"PENDING_REEVALUATION","scenario_id":"SCN-2AD1B1369F3CA903C33A7F0A","scenario_name":"Plan A — Optimize current warehouse type","step":2}]</t>
        </is>
      </c>
      <c r="BA55" s="22" t="inlineStr">
        <is>
          <t>[]</t>
        </is>
      </c>
    </row>
    <row r="56" ht="32" customHeight="1">
      <c r="A56" s="14" t="inlineStr">
        <is>
          <t>PKG-B2D290A3E27C723FA701C058</t>
        </is>
      </c>
      <c r="B56" s="14" t="inlineStr">
        <is>
          <t>CAND-EB204DD074336232DC0C1B6A</t>
        </is>
      </c>
      <c r="C56" s="14" t="inlineStr">
        <is>
          <t>WH-MIN-CLUSTER-ASSESS-001</t>
        </is>
      </c>
      <c r="D56" s="14" t="inlineStr">
        <is>
          <t>2234567890123456</t>
        </is>
      </c>
      <c r="E56" s="14" t="inlineStr">
        <is>
          <t>wh-synth-010</t>
        </is>
      </c>
      <c r="F56" s="15" t="inlineStr">
        <is>
          <t>Cold Start BI</t>
        </is>
      </c>
      <c r="G56" s="16" t="inlineStr">
        <is>
          <t>bi-platform@databricks.example</t>
        </is>
      </c>
      <c r="H56" s="14" t="inlineStr">
        <is>
          <t>EPOCH-C7F9B1F0FFBC8326294AA75D</t>
        </is>
      </c>
      <c r="I56" s="18" t="inlineStr">
        <is>
          <t>min_clusters</t>
        </is>
      </c>
      <c r="J56" s="18" t="inlineStr">
        <is>
          <t>NO_CHANGE</t>
        </is>
      </c>
      <c r="K56" s="15" t="inlineStr">
        <is>
          <t>COST</t>
        </is>
      </c>
      <c r="L56" s="15" t="n">
        <v>1</v>
      </c>
      <c r="M56" s="15" t="n">
        <v>1</v>
      </c>
      <c r="N56" s="15" t="inlineStr">
        <is>
          <t>Minimum is already 1.</t>
        </is>
      </c>
      <c r="O56" s="21" t="n">
        <v>0.8</v>
      </c>
      <c r="P56" s="18" t="inlineStr">
        <is>
          <t>HIGH</t>
        </is>
      </c>
      <c r="Q56" s="18" t="b">
        <v>1</v>
      </c>
      <c r="R56" s="16" t="inlineStr">
        <is>
          <t>USD</t>
        </is>
      </c>
      <c r="S56" s="18" t="inlineStr">
        <is>
          <t>NO_CHANGE</t>
        </is>
      </c>
      <c r="T56" s="19" t="n">
        <v>17000</v>
      </c>
      <c r="U56" s="19" t="n">
        <v>5488.19</v>
      </c>
      <c r="V56" s="19" t="n">
        <v>22488.19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22488.19</v>
      </c>
      <c r="AG56" s="19" t="n">
        <v>22488.19</v>
      </c>
      <c r="AH56" s="19" t="n">
        <v>22488.19</v>
      </c>
      <c r="AI56" s="18" t="b">
        <v>0</v>
      </c>
      <c r="AJ56" s="18" t="inlineStr">
        <is>
          <t>NOT_APPLIED</t>
        </is>
      </c>
      <c r="AK56" s="16" t="inlineStr">
        <is>
          <t>—</t>
        </is>
      </c>
      <c r="AL56" s="18" t="inlineStr">
        <is>
          <t>—</t>
        </is>
      </c>
      <c r="AM56" s="19" t="inlineStr">
        <is>
          <t>UNAVAILABLE</t>
        </is>
      </c>
      <c r="AN56" s="19" t="inlineStr">
        <is>
          <t>UNAVAILABLE</t>
        </is>
      </c>
      <c r="AO56" s="19" t="inlineStr">
        <is>
          <t>UNAVAILABLE</t>
        </is>
      </c>
      <c r="AP56" s="19" t="inlineStr">
        <is>
          <t>UNAVAILABLE</t>
        </is>
      </c>
      <c r="AQ56" s="18" t="inlineStr">
        <is>
          <t>—</t>
        </is>
      </c>
      <c r="AR56" s="15" t="inlineStr">
        <is>
          <t>time_at_min_pct &gt;= reduction signal 25.0; queued_query_pct_30 &lt;= safe 0.5; p95_wait_capacity_ms_when_queued_30 &lt;= safe 5000; time_at_max_pct &gt;= blocker 20.0</t>
        </is>
      </c>
      <c r="AS56" s="22" t="inlineStr">
        <is>
          <t>{"coverage":1.0,"epoch_maturity":1.0,"sample":1.0,"signal":0.7,"stability":0.91}</t>
        </is>
      </c>
      <c r="AT56" s="22" t="inlineStr">
        <is>
          <t>["EVID-82F2F544BF285E0D48F629A2","EVID-B9FCE9EF48F56612B7574032","EVID-C2CD370AACFD9F2B4229945B","EVID-95D1B823E29837B625350057","EVID-576AD0041E307AD0E98A8B99","EVID-F6A16121002CAEDD32814FF8","EVID-544F97BCD83FF9A97476FE07","EVID-E21F9261CD31D2A21EF533E4","EVID-CCA0AB4C53A92C8B3916ABDA"]</t>
        </is>
      </c>
      <c r="AU56" s="22" t="inlineStr">
        <is>
          <t>{"EVID-544F97BCD83FF9A97476FE07":{"comparator":"","epoch_scope":"CURRENT","evidence_id":"EVID-544F97BCD83FF9A97476FE07","interpretation":"No-change forward DBU cost forecast anchored to the current configuration epoch.","metric":"forward_dbu_cost_365d","observation_window":"forward_365d","source":"derived","source_field":"epoch-runrate-v2.7","threshold":null,"unit":"USD","value":17000.0},"EVID-576AD0041E307AD0E98A8B99":{"comparator":"&gt;= blocker","epoch_scope":"CURRENT","evidence_id":"EVID-576AD0041E307AD0E98A8B99","interpretation":"Sustained scale pressure blocks minimum reduction.","metric":"time_at_max_pct","observation_window":"current epoch","source":"system.compute.warehouse_events","source_field":"cluster_count","threshold":20.0,"unit":"%","value":0.0},"EVID-82F2F544BF285E0D48F629A2":{"comparator":"","epoch_scope":"CURRENT","evidence_id":"EVID-82F2F544BF285E0D48F629A2","interpretation":"Configured minimum scale.","metric":"min_clusters","observation_window":"current epoch","source":"system.compute.warehouses","source_field":"min_clusters","threshold":null,"unit":"value","value":1},"EVID-95D1B823E29837B625350057":{"comparator":"&lt;= safe","epoch_scope":"CURRENT","evidence_id":"EVID-95D1B823E29837B625350057","interpretation":"Queue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epoch","source":"system.query.history","source_field":"waiting_at_capacity_duration_ms","threshold":5000,"unit":"ms","value":0},"EVID-B9FCE9EF48F56612B7574032":{"comparator":"&gt;= reduction signal","epoch_scope":"CURRENT","evidence_id":"EVID-B9FCE9EF48F56612B7574032","interpretation":"How often the warehouse sits at its minimum.","metric":"time_at_min_pct","observation_window":"current epoch","source":"system.compute.warehouse_events","source_field":"cluster_count","threshold":25.0,"unit":"%","value":60.0},"EVID-C2CD370AACFD9F2B4229945B":{"comparator":"&lt;= safe","epoch_scope":"CURRENT","evidence_id":"EVID-C2CD370AACFD9F2B4229945B","interpretation":"Queue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epoch","source":"system.query.history","source_field":"waiting_at_capacity_duration_ms","threshold":0.5,"unit":"%","value":0.0},"EVID-CCA0AB4C53A92C8B3916ABDA":{"comparator":"","epoch_scope":"CURRENT","evidence_id":"EVID-CCA0AB4C53A92C8B3916ABDA","interpretation":"Calendar-day coverage available to the forward cost model.","metric":"cost_history_days","observation_window":"current_epoch","source":"system.billing.usage","source_field":"usage_date","threshold":null,"unit":"days","value":249},"EVID-E21F9261CD31D2A21EF533E4":{"comparator":"","epoch_scope":"CURRENT","evidence_id":"EVID-E21F9261CD31D2A21EF533E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5488.19},"EVID-F6A16121002CAEDD32814FF8":{"comparator":"","epoch_scope":"CURRENT","evidence_id":"EVID-F6A16121002CAEDD32814FF8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price","threshold":null,"unit":"USD","value":14960.0}}</t>
        </is>
      </c>
      <c r="AV56" s="22" t="inlineStr">
        <is>
          <t>[{"comparator":"&gt;= reduction signal","evidence_id":"EVID-B9FCE9EF48F56612B7574032","metric":"time_at_min_pct","threshold":25.0},{"comparator":"&lt;= safe","evidence_id":"EVID-C2CD370AACFD9F2B4229945B","metric":"queued_query_pct_30","threshold":0.5},{"comparator":"&lt;= safe","evidence_id":"EVID-95D1B823E29837B625350057","metric":"p95_wait_capacity_ms_when_queued_30","threshold":5000},{"comparator":"&gt;= blocker","evidence_id":"EVID-576AD0041E307AD0E98A8B99","metric":"time_at_max_pct","threshold":20.0}]</t>
        </is>
      </c>
      <c r="AW56" s="22" t="inlineStr">
        <is>
          <t>[{"condition":null,"dependency_type":"KNOB","ref_id":"warehouse_size"},{"condition":null,"dependency_type":"KNOB","ref_id":"max_clusters"}]</t>
        </is>
      </c>
      <c r="AX56" s="22" t="inlineStr">
        <is>
          <t>[]</t>
        </is>
      </c>
      <c r="AY56" s="22" t="inlineStr">
        <is>
          <t>[]</t>
        </is>
      </c>
      <c r="AZ56" s="22" t="inlineStr">
        <is>
          <t>[]</t>
        </is>
      </c>
      <c r="BA56" s="22" t="inlineStr">
        <is>
          <t>[]</t>
        </is>
      </c>
    </row>
    <row r="57" ht="32" customHeight="1">
      <c r="A57" s="14" t="inlineStr">
        <is>
          <t>PKG-B2D290A3E27C723FA701C058</t>
        </is>
      </c>
      <c r="B57" s="14" t="inlineStr">
        <is>
          <t>CAND-FBB76A767C22C2098918D09A</t>
        </is>
      </c>
      <c r="C57" s="14" t="inlineStr">
        <is>
          <t>WH-AUTOSTOP-REDUCE-001</t>
        </is>
      </c>
      <c r="D57" s="14" t="inlineStr">
        <is>
          <t>2234567890123456</t>
        </is>
      </c>
      <c r="E57" s="14" t="inlineStr">
        <is>
          <t>wh-synth-010</t>
        </is>
      </c>
      <c r="F57" s="15" t="inlineStr">
        <is>
          <t>Cold Start BI</t>
        </is>
      </c>
      <c r="G57" s="16" t="inlineStr">
        <is>
          <t>bi-platform@databricks.example</t>
        </is>
      </c>
      <c r="H57" s="14" t="inlineStr">
        <is>
          <t>EPOCH-C7F9B1F0FFBC8326294AA75D</t>
        </is>
      </c>
      <c r="I57" s="18" t="inlineStr">
        <is>
          <t>auto_stop_minutes</t>
        </is>
      </c>
      <c r="J57" s="18" t="inlineStr">
        <is>
          <t>BLOCKED</t>
        </is>
      </c>
      <c r="K57" s="15" t="inlineStr">
        <is>
          <t>COST</t>
        </is>
      </c>
      <c r="L57" s="15" t="n">
        <v>120</v>
      </c>
      <c r="M57" s="15" t="n">
        <v>30</v>
      </c>
      <c r="N57" s="15" t="inlineStr">
        <is>
          <t>A lower target exists but guardrails block automatic recommendation.</t>
        </is>
      </c>
      <c r="O57" s="21" t="n">
        <v>0.8</v>
      </c>
      <c r="P57" s="18" t="inlineStr">
        <is>
          <t>HIGH</t>
        </is>
      </c>
      <c r="Q57" s="18" t="b">
        <v>0</v>
      </c>
      <c r="R57" s="16" t="inlineStr">
        <is>
          <t>USD</t>
        </is>
      </c>
      <c r="S57" s="18" t="inlineStr">
        <is>
          <t>UNAVAILABLE</t>
        </is>
      </c>
      <c r="T57" s="19" t="n">
        <v>17000</v>
      </c>
      <c r="U57" s="19" t="n">
        <v>5488.19</v>
      </c>
      <c r="V57" s="19" t="n">
        <v>22488.19</v>
      </c>
      <c r="W57" s="19" t="inlineStr">
        <is>
          <t>UNAVAILABLE</t>
        </is>
      </c>
      <c r="X57" s="19" t="inlineStr">
        <is>
          <t>UNAVAILABLE</t>
        </is>
      </c>
      <c r="Y57" s="19" t="inlineStr">
        <is>
          <t>UNAVAILABLE</t>
        </is>
      </c>
      <c r="Z57" s="19" t="inlineStr">
        <is>
          <t>UNAVAILABLE</t>
        </is>
      </c>
      <c r="AA57" s="19" t="inlineStr">
        <is>
          <t>UNAVAILABLE</t>
        </is>
      </c>
      <c r="AB57" s="19" t="inlineStr">
        <is>
          <t>UNAVAILABLE</t>
        </is>
      </c>
      <c r="AC57" s="19" t="inlineStr">
        <is>
          <t>UNAVAILABLE</t>
        </is>
      </c>
      <c r="AD57" s="19" t="inlineStr">
        <is>
          <t>UNAVAILABLE</t>
        </is>
      </c>
      <c r="AE57" s="19" t="inlineStr">
        <is>
          <t>UNAVAILABLE</t>
        </is>
      </c>
      <c r="AF57" s="19" t="inlineStr">
        <is>
          <t>UNAVAILABLE</t>
        </is>
      </c>
      <c r="AG57" s="19" t="inlineStr">
        <is>
          <t>UNAVAILABLE</t>
        </is>
      </c>
      <c r="AH57" s="19" t="inlineStr">
        <is>
          <t>UNAVAILABLE</t>
        </is>
      </c>
      <c r="AI57" s="18" t="b">
        <v>0</v>
      </c>
      <c r="AJ57" s="18" t="inlineStr">
        <is>
          <t>NOT_APPLIED</t>
        </is>
      </c>
      <c r="AK57" s="16" t="inlineStr">
        <is>
          <t>—</t>
        </is>
      </c>
      <c r="AL57" s="18" t="inlineStr">
        <is>
          <t>—</t>
        </is>
      </c>
      <c r="AM57" s="19" t="inlineStr">
        <is>
          <t>UNAVAILABLE</t>
        </is>
      </c>
      <c r="AN57" s="19" t="inlineStr">
        <is>
          <t>UNAVAILABLE</t>
        </is>
      </c>
      <c r="AO57" s="19" t="inlineStr">
        <is>
          <t>UNAVAILABLE</t>
        </is>
      </c>
      <c r="AP57" s="19" t="inlineStr">
        <is>
          <t>UNAVAILABLE</t>
        </is>
      </c>
      <c r="AQ57" s="18" t="inlineStr">
        <is>
          <t>—</t>
        </is>
      </c>
      <c r="AR57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57" s="22" t="inlineStr">
        <is>
          <t>{"coverage":1.0,"epoch_maturity":1.0,"sample":1.0,"signal":0.7,"stability":0.91}</t>
        </is>
      </c>
      <c r="AT57" s="22" t="inlineStr">
        <is>
          <t>["EVID-F061026BE78747696C1238CE","EVID-262B6F32A3311EAB0AEA956E","EVID-0C4E337F432378BC4ABF82BB","EVID-4C5F394CE1E66392DB372C0E","EVID-5755982F8C3E87CBDBBD762F","EVID-EDC048377DB26691E0C059FB","EVID-4358A7777647777705B43015","EVID-EDD11801F242C17DD64F2799","EVID-F6A16121002CAEDD32814FF8","EVID-544F97BCD83FF9A97476FE07","EVID-E21F9261CD31D2A21EF533E4","EVID-CCA0AB4C53A92C8B3916ABDA"]</t>
        </is>
      </c>
      <c r="AU57" s="22" t="inlineStr">
        <is>
          <t>{"EVID-0C4E337F432378BC4ABF82BB":{"comparator":"&gt;= evidence minimum","epoch_scope":"CURRENT","evidence_id":"EVID-0C4E337F432378BC4ABF82BB","interpretation":"Non-overlapping inter-query gap sample supporting the auto-stop counterfactual.","metric":"idle_gap_count","observation_window":"current epoch","source":"system.query.history","source_field":"start_time/end_time","threshold":30,"unit":"gaps","value":192},"EVID-262B6F32A3311EAB0AEA956E":{"comparator":"","epoch_scope":"CURRENT","evidence_id":"EVID-262B6F32A3311EAB0AEA956E","interpretation":"Activity density selects the auto-stop target.","metric":"queries_per_active_day_30","observation_window":"last 30 days within current epoch","source":"system.query.history","source_field":"start_time","threshold":null,"unit":"queries/day","value":160.0},"EVID-4358A7777647777705B43015":{"comparator":"&gt;= cold-start blocker","epoch_scope":"CURRENT","evidence_id":"EVID-4358A7777647777705B43015","interpretation":"Restart frequency guardrail.","metric":"starts_per_active_day_30","observation_window":"last 30 days within current epoch","source":"system.compute.warehouse_events","source_field":"event_type=STARTING","threshold":0.5,"unit":"starts/day","value":0.8},"EVID-4C5F394CE1E66392DB372C0E":{"comparator":"&gt;= evidence minimum","epoch_scope":"CURRENT","evidence_id":"EVID-4C5F394CE1E66392DB372C0E","interpretation":"Observed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30000.0},"EVID-544F97BCD83FF9A97476FE07":{"comparator":"","epoch_scope":"CURRENT","evidence_id":"EVID-544F97BCD83FF9A97476FE07","interpretation":"No-change forward DBU cost forecast anchored to the current configuration epoch.","metric":"forward_dbu_cost_365d","observation_window":"forward_365d","source":"derived","source_field":"epoch-runrate-v2.7","threshold":null,"unit":"USD","value":17000.0},"EVID-5755982F8C3E87CBDBBD762F":{"comparator":"","epoch_scope":"CURRENT","evidence_id":"EVID-5755982F8C3E87CBDBBD762F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24},"EVID-CCA0AB4C53A92C8B3916ABDA":{"comparator":"","epoch_scope":"CURRENT","evidence_id":"EVID-CCA0AB4C53A92C8B3916ABDA","interpretation":"Calendar-day coverage available to the forward cost model.","metric":"cost_history_days","observation_window":"current_epoch","source":"system.billing.usage","source_field":"usage_date","threshold":null,"unit":"days","value":249},"EVID-E21F9261CD31D2A21EF533E4":{"comparator":"","epoch_scope":"CURRENT","evidence_id":"EVID-E21F9261CD31D2A21EF533E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unavailable.","metric":"forward_aws_cost_365d","observation_window":"forward_365d","source":"derived","source_field":"aws_current_epoch_cost_model","threshold":null,"unit":"USD","value":5488.19},"EVID-EDC048377DB26691E0C059FB":{"comparator":"&gt;= cold-start blocker","epoch_scope":"CURRENT","evidence_id":"EVID-EDC048377DB26691E0C059FB","interpretation":"Cold-start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epoch","source":"system.query.history","source_field":"waiting_for_compute_duration_ms","threshold":60000,"unit":"ms","value":85000},"EVID-EDD11801F242C17DD64F2799":{"comparator":"","epoch_scope":"CURRENT","evidence_id":"EVID-EDD11801F242C17DD64F2799","interpretation":"Estimated additional off-time at the candidate target.","metric":"estimated_additional_off_minutes","observation_window":"current epoch","source":"system.query.history","source_field":"inter-query gap","threshold":null,"unit":"minutes","value":7920.0},"EVID-F061026BE78747696C1238CE":{"comparator":"&gt; target","epoch_scope":"CURRENT","evidence_id":"EVID-F061026BE78747696C1238CE","interpretation":"Current idle termination setting versus deterministic policy target.","metric":"auto_stop_minutes","observation_window":"current epoch","source":"system.compute.warehouses","source_field":"auto_stop_minutes","threshold":30,"unit":"minutes","value":120},"EVID-F6A16121002CAEDD32814FF8":{"comparator":"","epoch_scope":"CURRENT","evidence_id":"EVID-F6A16121002CAEDD32814FF8","interpretation":"Observed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price","threshold":null,"unit":"USD","value":14960.0}}</t>
        </is>
      </c>
      <c r="AV57" s="22" t="inlineStr">
        <is>
          <t>[{"comparator":"&gt; target","evidence_id":"EVID-F061026BE78747696C1238CE","metric":"auto_stop_minutes","threshold":30},{"comparator":"&gt;= evidence minimum","evidence_id":"EVID-0C4E337F432378BC4ABF82BB","metric":"idle_gap_count","threshold":30},{"comparator":"&gt;= evidence minimum","evidence_id":"EVID-4C5F394CE1E66392DB372C0E","metric":"cluster_minutes","threshold":1.0},{"comparator":"&gt;= cold-start blocker","evidence_id":"EVID-EDC048377DB26691E0C059FB","metric":"p95_wait_compute_ms_when_waited_30","threshold":60000},{"comparator":"&gt;= cold-start blocker","evidence_id":"EVID-4358A7777647777705B43015","metric":"starts_per_active_day_30","threshold":0.5}]</t>
        </is>
      </c>
      <c r="AW57" s="22" t="inlineStr">
        <is>
          <t>[{"condition":null,"dependency_type":"KNOB","ref_id":"min_clusters"}]</t>
        </is>
      </c>
      <c r="AX57" s="22" t="inlineStr">
        <is>
          <t>[]</t>
        </is>
      </c>
      <c r="AY57" s="22" t="inlineStr">
        <is>
          <t>["COLD_START_SENSITIVE"]</t>
        </is>
      </c>
      <c r="AZ57" s="22" t="inlineStr">
        <is>
          <t>[]</t>
        </is>
      </c>
      <c r="BA57" s="22" t="inlineStr">
        <is>
          <t>[]</t>
        </is>
      </c>
    </row>
    <row r="58" ht="32" customHeight="1">
      <c r="A58" s="14" t="inlineStr">
        <is>
          <t>PKG-B2D290A3E27C723FA701C058</t>
        </is>
      </c>
      <c r="B58" s="14" t="inlineStr">
        <is>
          <t>CAND-E299C12314806ACD8AA15BB6</t>
        </is>
      </c>
      <c r="C58" s="14" t="inlineStr">
        <is>
          <t>WH-SERVERLESS-MIGRATE-001</t>
        </is>
      </c>
      <c r="D58" s="14" t="inlineStr">
        <is>
          <t>2234567890123456</t>
        </is>
      </c>
      <c r="E58" s="14" t="inlineStr">
        <is>
          <t>wh-synth-010</t>
        </is>
      </c>
      <c r="F58" s="15" t="inlineStr">
        <is>
          <t>Cold Start BI</t>
        </is>
      </c>
      <c r="G58" s="16" t="inlineStr">
        <is>
          <t>bi-platform@databricks.example</t>
        </is>
      </c>
      <c r="H58" s="14" t="inlineStr">
        <is>
          <t>EPOCH-C7F9B1F0FFBC8326294AA75D</t>
        </is>
      </c>
      <c r="I58" s="18" t="inlineStr">
        <is>
          <t>warehouse_type</t>
        </is>
      </c>
      <c r="J58" s="18" t="inlineStr">
        <is>
          <t>TEST_REQUIRED</t>
        </is>
      </c>
      <c r="K58" s="15" t="inlineStr">
        <is>
          <t>MIGRATION, COST_AND_PERFORMANCE, OPERATIONS</t>
        </is>
      </c>
      <c r="L58" s="15" t="inlineStr">
        <is>
          <t>PRO</t>
        </is>
      </c>
      <c r="M58" s="15" t="inlineStr">
        <is>
          <t>SERVERLESS</t>
        </is>
      </c>
      <c r="N58" s="15" t="inlineStr">
        <is>
          <t>Serverless is evaluated as a separate migration experiment with a pre-canary DBU/AWS counterfactual and deterministic compatibility gate.</t>
        </is>
      </c>
      <c r="O58" s="21" t="n">
        <v>0.78</v>
      </c>
      <c r="P58" s="18" t="inlineStr">
        <is>
          <t>MEDIUM</t>
        </is>
      </c>
      <c r="Q58" s="18" t="b">
        <v>1</v>
      </c>
      <c r="R58" s="16" t="inlineStr">
        <is>
          <t>USD</t>
        </is>
      </c>
      <c r="S58" s="18" t="inlineStr">
        <is>
          <t>SAVINGS</t>
        </is>
      </c>
      <c r="T58" s="19" t="n">
        <v>17000</v>
      </c>
      <c r="U58" s="19" t="n">
        <v>5488.19</v>
      </c>
      <c r="V58" s="19" t="n">
        <v>22488.19</v>
      </c>
      <c r="W58" s="19" t="n">
        <v>582.33</v>
      </c>
      <c r="X58" s="19" t="n">
        <v>4686.75</v>
      </c>
      <c r="Y58" s="19" t="n">
        <v>8791.16</v>
      </c>
      <c r="Z58" s="19" t="n">
        <v>5488.19</v>
      </c>
      <c r="AA58" s="19" t="n">
        <v>5488.19</v>
      </c>
      <c r="AB58" s="19" t="n">
        <v>5488.19</v>
      </c>
      <c r="AC58" s="19" t="n">
        <v>6070.52</v>
      </c>
      <c r="AD58" s="19" t="n">
        <v>10174.94</v>
      </c>
      <c r="AE58" s="19" t="n">
        <v>14279.35</v>
      </c>
      <c r="AF58" s="19" t="n">
        <v>8208.84</v>
      </c>
      <c r="AG58" s="19" t="n">
        <v>12313.25</v>
      </c>
      <c r="AH58" s="19" t="n">
        <v>16417.67</v>
      </c>
      <c r="AI58" s="18" t="b">
        <v>0</v>
      </c>
      <c r="AJ58" s="18" t="inlineStr">
        <is>
          <t>NOT_APPLIED</t>
        </is>
      </c>
      <c r="AK58" s="16" t="inlineStr">
        <is>
          <t>—</t>
        </is>
      </c>
      <c r="AL58" s="18" t="inlineStr">
        <is>
          <t>—</t>
        </is>
      </c>
      <c r="AM58" s="19" t="inlineStr">
        <is>
          <t>UNAVAILABLE</t>
        </is>
      </c>
      <c r="AN58" s="19" t="inlineStr">
        <is>
          <t>UNAVAILABLE</t>
        </is>
      </c>
      <c r="AO58" s="19" t="inlineStr">
        <is>
          <t>UNAVAILABLE</t>
        </is>
      </c>
      <c r="AP58" s="19" t="inlineStr">
        <is>
          <t>UNAVAILABLE</t>
        </is>
      </c>
      <c r="AQ58" s="18" t="inlineStr">
        <is>
          <t>—</t>
        </is>
      </c>
      <c r="AR58" s="15" t="inlineStr">
        <is>
          <t>No numeric threshold</t>
        </is>
      </c>
      <c r="AS58" s="22" t="inlineStr">
        <is>
          <t>{"coverage":1.0,"epoch_maturity":1.0,"sample":1.0,"signal":1.0,"stability":0.91}</t>
        </is>
      </c>
      <c r="AT58" s="22" t="inlineStr">
        <is>
          <t>["EVID-D69EE6A78CC33EAA81289A91","EVID-079EAA62D4D2463F280DD636","EVID-94494E609884DD1061A1BAE8","EVID-7BBFE58EB390ED9CE470DDBA","EVID-FA09B298BBED0188E79849C7","EVID-E548109D2824FF6673337CE2","EVID-FE12840F9CF6363CB2E50AE5","EVID-32637602B73B998E62D2015F","EVID-3B0B5CEA1E220C0A96409685","EVID-FD670F422E4B757BEE0194C6","EVID-4DF6E5161EC835521DB08092","EVID-F62D3E7730D5A803CE342120","EVID-35D18D87479D58503717BE9C","EVID-F6A16121002CAEDD32814FF8","EVID-544F97BCD83FF9A97476FE07","EVID-E21F9261CD31D2A21EF533E4","EVID-CCA0AB4C53A92C8B3916ABDA"]</t>
        </is>
      </c>
      <c r="AU58" s="22" t="inlineStr">
        <is>
          <t>{"EVID-079EAA62D4D2463F280DD636":{"comparator":"","epoch_scope":"CURRENT","evidence_id":"EVID-079EAA62D4D2463F280DD636","interpretation":"Observed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days","source":"system.billing.usage","source_field":"product_features.is_serverless","threshold":null,"unit":"%","value":0.0},"EVID-32637602B73B998E62D2015F":{"comparator":"","epoch_scope":"CURRENT","evidence_id":"EVID-32637602B73B998E62D2015F","interpretation":"Alert workload mix context.","metric":"alert_queries_30","observation_window":"last 30 days within current epoch","source":"system.query.history","source_field":"query_source.alert_id","threshold":null,"unit":"queries","value":0},"EVID-35D18D87479D58503717BE9C":{"comparator":"","epoch_scope":"CURRENT","evidence_id":"EVID-35D18D87479D58503717BE9C","interpretation":"Potential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only)","threshold":null,"unit":"queries","value":0},"EVID-3B0B5CEA1E220C0A96409685":{"comparator":"","epoch_scope":"CURRENT","evidence_id":"EVID-3B0B5CEA1E220C0A96409685","interpretation":"Databricks SQL editor/query workload mix context.","metric":"sql_editor_queries_30","observation_window":"last 30 days within current epoch","source":"system.query.history","source_field":"query_source.sql_query_id","threshold":null,"unit":"queries","value":384},"EVID-4DF6E5161EC835521DB08092":{"comparator":"","epoch_scope":"CURRENT","evidence_id":"EVID-4DF6E5161EC835521DB08092","interpretation":"Tableau client workload mix context.","metric":"tableau_queries_30","observation_window":"last 30 days within current epoch","source":"system.query.history","source_field":"client_application","threshold":null,"unit":"queries","value":0},"EVID-544F97BCD83FF9A97476FE07":{"comparator":"","epoch_scope":"CURRENT","evidence_id":"EVID-544F97BCD83FF9A97476FE07","interpretation":"No-change forward DBU cost forecast anchored to the current configuration epoch.","metric":"forward_dbu_cost_365d","observation_window":"forward_365d","source":"derived","source_field":"epoch-runrate-v2.7","threshold":null,"unit":"USD","value":17000.0},"EVID-7BBFE58EB390ED9CE470DDBA":{"comparator":"","epoch_scope":"CURRENT","evidence_id":"EVID-7BBFE58EB390ED9CE470DDBA","interpretation":"Dashboard workload mix context.","metric":"dashboard_queries_30","observation_window":"last 30 days within current epoch","source":"system.query.history","source_field":"query_source.dashboard_id","threshold":null,"unit":"queries","value":3600},"EVID-94494E609884DD1061A1BAE8":{"comparator":"","epoch_scope":"CURRENT","evidence_id":"EVID-94494E609884DD1061A1BAE8","interpretation":"Query-tag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epoch","source":"system.query.history","source_field":"query_tags","threshold":null,"unit":"%","value":70.0},"EVID-CCA0AB4C53A92C8B3916ABDA":{"comparator":"","epoch_scope":"CURRENT","evidence_id":"EVID-CCA0AB4C53A92C8B3916ABDA","interpretation":"Calendar-day coverage available to the forward cost model.","metric":"cost_history_days","observation_window":"current_epoch","source":"system.billing.usage","source_field":"usage_date","threshold":null,"unit":"days","value":249},"EVID-D69EE6A78CC33EAA81289A91":{"comparator":"","epoch_scope":"CURRENT","evidence_id":"EVID-D69EE6A78CC33EAA81289A91","interpretation":"Current warehouse type.","metric":"warehouse_type","observation_window":"current epoch","source":"system.compute.warehouses","source_field":"warehouse_type","threshold":null,"unit":"value","value":"PRO"},"EVID-E21F9261CD31D2A21EF533E4":{"comparator":"","epoch_scope":"CURRENT","evidence_id":"EVID-E21F9261CD31D2A21EF533E4","interpretation":"Forward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5488.19},"EVID-E548109D2824FF6673337CE2":{"comparator":"","epoch_scope":"CURRENT","evidence_id":"EVID-E548109D2824FF6673337CE2","interpretation":"Notebook workload mix context.","metric":"notebook_queries_30","observation_window":"last 30 days within current epoch","source":"system.query.history","source_field":"query_source.notebook_id","threshold":null,"unit":"queries","value":0},"EVID-F62D3E7730D5A803CE342120":{"comparator":"","epoch_scope":"CURRENT","evidence_id":"EVID-F62D3E7730D5A803CE342120","interpretation":"Coverage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epoch","source":"system.query.history","source_field":"statement_text","threshold":null,"unit":"%","value":100.0},"EVID-F6A16121002CAEDD32814FF8":{"comparator":"","epoch_scope":"CURRENT","evidence_id":"EVID-F6A16121002CAEDD32814FF8","interpretation":"Observed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price","threshold":null,"unit":"USD","value":14960.0},"EVID-FA09B298BBED0188E79849C7":{"comparator":"","epoch_scope":"CURRENT","evidence_id":"EVID-FA09B298BBED0188E79849C7","interpretation":"Job workload mix context.","metric":"job_queries_30","observation_window":"last 30 days within current epoch","source":"system.query.history","source_field":"query_source.job_info.job_id","threshold":null,"unit":"queries","value":0},"EVID-FD670F422E4B757BEE0194C6":{"comparator":"","epoch_scope":"CURRENT","evidence_id":"EVID-FD670F422E4B757BEE0194C6","interpretation":"Power BI client workload mix context.","metric":"power_bi_queries_30","observation_window":"last 30 days within current epoch","source":"system.query.history","source_field":"client_application","threshold":null,"unit":"queries","value":1200},"EVID-FE12840F9CF6363CB2E50AE5":{"comparator":"","epoch_scope":"CURRENT","evidence_id":"EVID-FE12840F9CF6363CB2E50AE5","interpretation":"Genie workload mix context.","metric":"genie_queries_30","observation_window":"last 30 days within current epoch","source":"system.query.history","source_field":"query_source.genie_space_id","threshold":null,"unit":"queries","value":0}}</t>
        </is>
      </c>
      <c r="AV58" s="22" t="inlineStr">
        <is>
          <t>[]</t>
        </is>
      </c>
      <c r="AW58" s="22" t="inlineStr">
        <is>
          <t>[]</t>
        </is>
      </c>
      <c r="AX58" s="22" t="inlineStr">
        <is>
          <t>["warehouse_size","max_clusters","min_clusters","auto_stop_minutes"]</t>
        </is>
      </c>
      <c r="AY58" s="22" t="inlineStr">
        <is>
          <t>["A_B_COST_PERFORMANCE_VALIDATION_REQUIRED","SERVERLESS_WORKSPACE_CAPABILITY_NOT_CONFIRMED_FROM_SYSTEM_TABLES"]</t>
        </is>
      </c>
      <c r="AZ58" s="22" t="inlineStr">
        <is>
          <t>[{"execution_state":"READY_FOR_CANARY","scenario_id":"SCN-DB87EC8AF05431F8208079A0","scenario_name":"Plan B — Serverless migration experiment","step":2}]</t>
        </is>
      </c>
      <c r="BA58" s="22" t="inlineStr">
        <is>
          <t>[]</t>
        </is>
      </c>
    </row>
    <row r="59" ht="32" customHeight="1">
      <c r="A59" s="14" t="inlineStr">
        <is>
          <t>PKG-07F463C0C249905A57984274</t>
        </is>
      </c>
      <c r="B59" s="14" t="inlineStr">
        <is>
          <t>CAND-6DAADF5C7A000999BB0EF2C1</t>
        </is>
      </c>
      <c r="C59" s="14" t="inlineStr">
        <is>
          <t>WH-CHANNEL-CURRENT-001</t>
        </is>
      </c>
      <c r="D59" s="14" t="inlineStr">
        <is>
          <t>2234567890123456</t>
        </is>
      </c>
      <c r="E59" s="14" t="inlineStr">
        <is>
          <t>wh-synth-013</t>
        </is>
      </c>
      <c r="F59" s="15" t="inlineStr">
        <is>
          <t>Customer 360</t>
        </is>
      </c>
      <c r="G59" s="16" t="inlineStr">
        <is>
          <t>customer360@databricks.example</t>
        </is>
      </c>
      <c r="H59" s="14" t="inlineStr">
        <is>
          <t>EPOCH-9A590817DDA0E60A1AD14A66</t>
        </is>
      </c>
      <c r="I59" s="18" t="inlineStr">
        <is>
          <t>warehouse_channel</t>
        </is>
      </c>
      <c r="J59" s="18" t="inlineStr">
        <is>
          <t>NO_CHANGE</t>
        </is>
      </c>
      <c r="K59" s="15" t="inlineStr">
        <is>
          <t>STABILITY</t>
        </is>
      </c>
      <c r="L59" s="15" t="inlineStr">
        <is>
          <t>CURRENT</t>
        </is>
      </c>
      <c r="M59" s="15" t="inlineStr">
        <is>
          <t>CURRENT</t>
        </is>
      </c>
      <c r="N59" s="15" t="inlineStr">
        <is>
          <t>No channel change indicated.</t>
        </is>
      </c>
      <c r="O59" s="21" t="n">
        <v>0.8</v>
      </c>
      <c r="P59" s="18" t="inlineStr">
        <is>
          <t>HIGH</t>
        </is>
      </c>
      <c r="Q59" s="18" t="b">
        <v>1</v>
      </c>
      <c r="R59" s="16" t="inlineStr">
        <is>
          <t>USD</t>
        </is>
      </c>
      <c r="S59" s="18" t="inlineStr">
        <is>
          <t>NO_CHANGE</t>
        </is>
      </c>
      <c r="T59" s="19" t="n">
        <v>58000</v>
      </c>
      <c r="U59" s="19" t="n">
        <v>37670.23</v>
      </c>
      <c r="V59" s="19" t="n">
        <v>95670.23</v>
      </c>
      <c r="W59" s="19" t="n">
        <v>0</v>
      </c>
      <c r="X59" s="19" t="n">
        <v>0</v>
      </c>
      <c r="Y59" s="19" t="n">
        <v>0</v>
      </c>
      <c r="Z59" s="19" t="n">
        <v>0</v>
      </c>
      <c r="AA59" s="19" t="n">
        <v>0</v>
      </c>
      <c r="AB59" s="19" t="n">
        <v>0</v>
      </c>
      <c r="AC59" s="19" t="n">
        <v>0</v>
      </c>
      <c r="AD59" s="19" t="n">
        <v>0</v>
      </c>
      <c r="AE59" s="19" t="n">
        <v>0</v>
      </c>
      <c r="AF59" s="19" t="n">
        <v>95670.23</v>
      </c>
      <c r="AG59" s="19" t="n">
        <v>95670.23</v>
      </c>
      <c r="AH59" s="19" t="n">
        <v>95670.23</v>
      </c>
      <c r="AI59" s="18" t="b">
        <v>0</v>
      </c>
      <c r="AJ59" s="18" t="inlineStr">
        <is>
          <t>NOT_APPLIED</t>
        </is>
      </c>
      <c r="AK59" s="16" t="inlineStr">
        <is>
          <t>—</t>
        </is>
      </c>
      <c r="AL59" s="18" t="inlineStr">
        <is>
          <t>—</t>
        </is>
      </c>
      <c r="AM59" s="19" t="inlineStr">
        <is>
          <t>UNAVAILABLE</t>
        </is>
      </c>
      <c r="AN59" s="19" t="inlineStr">
        <is>
          <t>UNAVAILABLE</t>
        </is>
      </c>
      <c r="AO59" s="19" t="inlineStr">
        <is>
          <t>UNAVAILABLE</t>
        </is>
      </c>
      <c r="AP59" s="19" t="inlineStr">
        <is>
          <t>UNAVAILABLE</t>
        </is>
      </c>
      <c r="AQ59" s="18" t="inlineStr">
        <is>
          <t>—</t>
        </is>
      </c>
      <c r="AR59" s="15" t="inlineStr">
        <is>
          <t>No numeric threshold</t>
        </is>
      </c>
      <c r="AS59" s="22" t="inlineStr">
        <is>
          <t>{"coverage":1.0,"epoch_maturity":1.0,"sample":1.0,"signal":0.7,"stability":0.91}</t>
        </is>
      </c>
      <c r="AT59" s="22" t="inlineStr">
        <is>
          <t>["EVID-2805E2CB0E21815B548E32C4","EVID-EB4062CC3E2A9EE53D82DCE2","EVID-E537D70782B304C239A5C196","EVID-147B3F71E2FD2C372C751AA6","EVID-F434EE37F0A085340B6B5BEE"]</t>
        </is>
      </c>
      <c r="AU59" s="22" t="inlineStr">
        <is>
          <t>{"EVID-147B3F71E2FD2C372C751AA6":{"comparator":"","epoch_scope":"CURRENT","evidence_id":"EVID-147B3F71E2FD2C372C751AA6","interpretation":"Forward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37670.23},"EVID-2805E2CB0E21815B548E32C4":{"comparator":"","epoch_scope":"CURRENT","evidence_id":"EVID-2805E2CB0E21815B548E32C4","interpretation":"Current release channel from the current configuration epoch.","metric":"warehouse_channel","observation_window":"current epoch","source":"system.compute.warehouses","source_field":"warehouse_channel","threshold":null,"unit":"value","value":"CURRENT"},"EVID-E537D70782B304C239A5C196":{"comparator":"","epoch_scope":"CURRENT","evidence_id":"EVID-E537D70782B304C239A5C196","interpretation":"No-change forward DBU cost forecast anchored to the current configuration epoch.","metric":"forward_dbu_cost_365d","observation_window":"forward_365d","source":"derived","source_field":"epoch-runrate-v2.7","threshold":null,"unit":"USD","value":58000.0},"EVID-EB4062CC3E2A9EE53D82DCE2":{"comparator":"","epoch_scope":"CURRENT","evidence_id":"EVID-EB4062CC3E2A9EE53D82DCE2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price","threshold":null,"unit":"USD","value":51040.0},"EVID-F434EE37F0A085340B6B5BEE":{"comparator":"","epoch_scope":"CURRENT","evidence_id":"EVID-F434EE37F0A085340B6B5BEE","interpretation":"Calendar-day coverage available to the forward cost model.","metric":"cost_history_days","observation_window":"current_epoch","source":"system.billing.usage","source_field":"usage_date","threshold":null,"unit":"days","value":262}}</t>
        </is>
      </c>
      <c r="AV59" s="22" t="inlineStr">
        <is>
          <t>[]</t>
        </is>
      </c>
      <c r="AW59" s="22" t="inlineStr">
        <is>
          <t>[]</t>
        </is>
      </c>
      <c r="AX59" s="22" t="inlineStr">
        <is>
          <t>[]</t>
        </is>
      </c>
      <c r="AY59" s="22" t="inlineStr">
        <is>
          <t>[]</t>
        </is>
      </c>
      <c r="AZ59" s="22" t="inlineStr">
        <is>
          <t>[]</t>
        </is>
      </c>
      <c r="BA59" s="22" t="inlineStr">
        <is>
          <t>[]</t>
        </is>
      </c>
    </row>
    <row r="60" ht="32" customHeight="1">
      <c r="A60" s="14" t="inlineStr">
        <is>
          <t>PKG-07F463C0C249905A57984274</t>
        </is>
      </c>
      <c r="B60" s="14" t="inlineStr">
        <is>
          <t>CAND-44783D6FD480C2752BDBEC25</t>
        </is>
      </c>
      <c r="C60" s="14" t="inlineStr">
        <is>
          <t>WH-SIZE-UPSIZE-001</t>
        </is>
      </c>
      <c r="D60" s="14" t="inlineStr">
        <is>
          <t>2234567890123456</t>
        </is>
      </c>
      <c r="E60" s="14" t="inlineStr">
        <is>
          <t>wh-synth-013</t>
        </is>
      </c>
      <c r="F60" s="15" t="inlineStr">
        <is>
          <t>Customer 360</t>
        </is>
      </c>
      <c r="G60" s="16" t="inlineStr">
        <is>
          <t>customer360@databricks.example</t>
        </is>
      </c>
      <c r="H60" s="14" t="inlineStr">
        <is>
          <t>EPOCH-9A590817DDA0E60A1AD14A66</t>
        </is>
      </c>
      <c r="I60" s="18" t="inlineStr">
        <is>
          <t>warehouse_size</t>
        </is>
      </c>
      <c r="J60" s="18" t="inlineStr">
        <is>
          <t>ACTIONABLE</t>
        </is>
      </c>
      <c r="K60" s="15" t="inlineStr">
        <is>
          <t>PERFORMANCE</t>
        </is>
      </c>
      <c r="L60" s="15" t="inlineStr">
        <is>
          <t>LARGE</t>
        </is>
      </c>
      <c r="M60" s="15" t="inlineStr">
        <is>
          <t>X_LARGE</t>
        </is>
      </c>
      <c r="N60" s="15" t="inlineStr">
        <is>
          <t>Spill frequency and severity both cross the deterministic upsize thresholds.</t>
        </is>
      </c>
      <c r="O60" s="21" t="n">
        <v>0.93</v>
      </c>
      <c r="P60" s="18" t="inlineStr">
        <is>
          <t>HIGH</t>
        </is>
      </c>
      <c r="Q60" s="18" t="b">
        <v>1</v>
      </c>
      <c r="R60" s="16" t="inlineStr">
        <is>
          <t>USD</t>
        </is>
      </c>
      <c r="S60" s="18" t="inlineStr">
        <is>
          <t>COST_INCREASE</t>
        </is>
      </c>
      <c r="T60" s="19" t="n">
        <v>58000</v>
      </c>
      <c r="U60" s="19" t="n">
        <v>37670.23</v>
      </c>
      <c r="V60" s="19" t="n">
        <v>95670.23</v>
      </c>
      <c r="W60" s="19" t="n">
        <v>-58000</v>
      </c>
      <c r="X60" s="19" t="n">
        <v>-23200</v>
      </c>
      <c r="Y60" s="19" t="n">
        <v>0</v>
      </c>
      <c r="Z60" s="19" t="n">
        <v>-37670.23</v>
      </c>
      <c r="AA60" s="19" t="n">
        <v>-15068.09</v>
      </c>
      <c r="AB60" s="19" t="n">
        <v>0</v>
      </c>
      <c r="AC60" s="19" t="n">
        <v>-95670.23</v>
      </c>
      <c r="AD60" s="19" t="n">
        <v>-38268.09</v>
      </c>
      <c r="AE60" s="19" t="n">
        <v>0</v>
      </c>
      <c r="AF60" s="19" t="n">
        <v>95670.23</v>
      </c>
      <c r="AG60" s="19" t="n">
        <v>133938.32</v>
      </c>
      <c r="AH60" s="19" t="n">
        <v>191340.46</v>
      </c>
      <c r="AI60" s="18" t="b">
        <v>0</v>
      </c>
      <c r="AJ60" s="18" t="inlineStr">
        <is>
          <t>NOT_APPLIED</t>
        </is>
      </c>
      <c r="AK60" s="16" t="inlineStr">
        <is>
          <t>—</t>
        </is>
      </c>
      <c r="AL60" s="18" t="inlineStr">
        <is>
          <t>—</t>
        </is>
      </c>
      <c r="AM60" s="19" t="inlineStr">
        <is>
          <t>UNAVAILABLE</t>
        </is>
      </c>
      <c r="AN60" s="19" t="inlineStr">
        <is>
          <t>UNAVAILABLE</t>
        </is>
      </c>
      <c r="AO60" s="19" t="inlineStr">
        <is>
          <t>UNAVAILABLE</t>
        </is>
      </c>
      <c r="AP60" s="19" t="inlineStr">
        <is>
          <t>UNAVAILABLE</t>
        </is>
      </c>
      <c r="AQ60" s="18" t="inlineStr">
        <is>
          <t>—</t>
        </is>
      </c>
      <c r="AR60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60" s="22" t="inlineStr">
        <is>
          <t>{"coverage":1.0,"epoch_maturity":1.0,"sample":1.0,"signal":1.0,"stability":0.91}</t>
        </is>
      </c>
      <c r="AT60" s="22" t="inlineStr">
        <is>
          <t>["EVID-45040C819E97E97C0C3512DD","EVID-FA3E117294ACCCC7A8F86BE4","EVID-61487496034534522AE52030","EVID-961B35C0E85521646A2B48D9","EVID-D3B52F66FCD31062B1B0A0B3","EVID-C0985AE59F5D8278110173AD","EVID-774DFFF76A9BF347776727F1","EVID-1C01A17AAD8C207EF44692C1","EVID-EB4062CC3E2A9EE53D82DCE2","EVID-E537D70782B304C239A5C196","EVID-147B3F71E2FD2C372C751AA6","EVID-F434EE37F0A085340B6B5BEE"]</t>
        </is>
      </c>
      <c r="AU60" s="22" t="inlineStr">
        <is>
          <t>{"EVID-147B3F71E2FD2C372C751AA6":{"comparator":"","epoch_scope":"CURRENT","evidence_id":"EVID-147B3F71E2FD2C372C751AA6","interpretation":"Forward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37670.23},"EVID-1C01A17AAD8C207EF44692C1":{"comparator":"","epoch_scope":"CURRENT","evidence_id":"EVID-1C01A17AAD8C207EF44692C1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epoch","source":"system.query.history","source_field":"read_io_cache_percent","threshold":null,"unit":"%","value":35.0},"EVID-45040C819E97E97C0C3512DD":{"comparator":"","epoch_scope":"CURRENT","evidence_id":"EVID-45040C819E97E97C0C3512DD","interpretation":"Current warehouse size.","metric":"warehouse_size","observation_window":"current epoch","source":"system.compute.warehouses","source_field":"warehouse_size","threshold":null,"unit":"value","value":"LARGE"},"EVID-61487496034534522AE52030":{"comparator":"&gt;= evidence minimum for upsize","epoch_scope":"CURRENT","evidence_id":"EVID-61487496034534522AE52030","interpretation":"Queries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epoch","source":"system.query.history","source_field":"spilled_local_bytes","threshold":20,"unit":"queries","value":412},"EVID-774DFFF76A9BF347776727F1":{"comparator":"&lt;= downsize-safe","epoch_scope":"CURRENT","evidence_id":"EVID-774DFFF76A9BF347776727F1","interpretation":"Extreme tail execution latency guardrail.","metric":"p99_execution_ms_30","observation_window":"last 30 days within current epoch","source":"system.query.history","source_field":"execution_duration_ms","threshold":30000,"unit":"ms","value":36000},"EVID-961B35C0E85521646A2B48D9":{"comparator":"&gt;= upsize signal","epoch_scope":"CURRENT","evidence_id":"EVID-961B35C0E85521646A2B48D9","interpretation":"Severity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epoch","source":"system.query.history","source_field":"spilled_local_bytes","threshold":1073741824,"unit":"bytes","value":2147483648},"EVID-C0985AE59F5D8278110173AD":{"comparator":"&lt;= downsize-safe","epoch_scope":"CURRENT","evidence_id":"EVID-C0985AE59F5D8278110173AD","interpretation":"Tail execution latency guardrail.","metric":"p95_execution_ms_30","observation_window":"last 30 days within current epoch","source":"system.query.history","source_field":"execution_duration_ms","threshold":5000,"unit":"ms","value":11000},"EVID-D3B52F66FCD31062B1B0A0B3":{"comparator":"&lt;= downsize-safe","epoch_scope":"CURRENT","evidence_id":"EVID-D3B52F66FCD31062B1B0A0B3","interpretation":"Concurrency pressure during the decision window.","metric":"queued_query_pct_30","observation_window":"last 30 days within current epoch","source":"system.query.history","source_field":"waiting_at_capacity_duration_ms","threshold":0.5,"unit":"%","value":1.0},"EVID-E537D70782B304C239A5C196":{"comparator":"","epoch_scope":"CURRENT","evidence_id":"EVID-E537D70782B304C239A5C196","interpretation":"No-change forward DBU cost forecast anchored to the current configuration epoch.","metric":"forward_dbu_cost_365d","observation_window":"forward_365d","source":"derived","source_field":"epoch-runrate-v2.7","threshold":null,"unit":"USD","value":58000.0},"EVID-EB4062CC3E2A9EE53D82DCE2":{"comparator":"","epoch_scope":"CURRENT","evidence_id":"EVID-EB4062CC3E2A9EE53D82DCE2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price","threshold":null,"unit":"USD","value":51040.0},"EVID-F434EE37F0A085340B6B5BEE":{"comparator":"","epoch_scope":"CURRENT","evidence_id":"EVID-F434EE37F0A085340B6B5BEE","interpretation":"Calendar-day coverage available to the forward cost model.","metric":"cost_history_days","observation_window":"current_epoch","source":"system.billing.usage","source_field":"usage_date","threshold":null,"unit":"days","value":262},"EVID-FA3E117294ACCCC7A8F86BE4":{"comparator":"&gt;= upsize signal","epoch_scope":"CURRENT","evidence_id":"EVID-FA3E117294ACCCC7A8F86BE4","interpretation":"Frequency of queries spilling to local storage.","metric":"spill_query_pct_30","observation_window":"last 30 days within current epoch","source":"system.query.history","source_field":"spilled_local_bytes","threshold":2.0,"unit":"%","value":4.2}}</t>
        </is>
      </c>
      <c r="AV60" s="22" t="inlineStr">
        <is>
          <t>[{"comparator":"&gt;= upsize signal","evidence_id":"EVID-FA3E117294ACCCC7A8F86BE4","metric":"spill_query_pct_30","threshold":2.0},{"comparator":"&gt;= evidence minimum for upsize","evidence_id":"EVID-61487496034534522AE52030","metric":"spill_queries_30","threshold":20},{"comparator":"&gt;= upsize signal","evidence_id":"EVID-961B35C0E85521646A2B48D9","metric":"p95_spill_bytes_when_spilled_30","threshold":1073741824},{"comparator":"&lt;= downsize-safe","evidence_id":"EVID-D3B52F66FCD31062B1B0A0B3","metric":"queued_query_pct_30","threshold":0.5},{"comparator":"&lt;= downsize-safe","evidence_id":"EVID-C0985AE59F5D8278110173AD","metric":"p95_execution_ms_30","threshold":5000},{"comparator":"&lt;= downsize-safe","evidence_id":"EVID-774DFFF76A9BF347776727F1","metric":"p99_execution_ms_30","threshold":30000}]</t>
        </is>
      </c>
      <c r="AW60" s="22" t="inlineStr">
        <is>
          <t>[{"condition":null,"dependency_type":"KNOB","ref_id":"warehouse_channel"}]</t>
        </is>
      </c>
      <c r="AX60" s="22" t="inlineStr">
        <is>
          <t>["max_clusters","min_clusters","auto_stop_minutes"]</t>
        </is>
      </c>
      <c r="AY60" s="22" t="inlineStr">
        <is>
          <t>[]</t>
        </is>
      </c>
      <c r="AZ60" s="22" t="inlineStr">
        <is>
          <t>[{"execution_state":"READY","scenario_id":"SCN-3ADBD372252C701E8605FDBF","scenario_name":"Plan A — Optimize current warehouse type","step":1}]</t>
        </is>
      </c>
      <c r="BA60" s="22" t="inlineStr">
        <is>
          <t>[]</t>
        </is>
      </c>
    </row>
    <row r="61" ht="32" customHeight="1">
      <c r="A61" s="14" t="inlineStr">
        <is>
          <t>PKG-07F463C0C249905A57984274</t>
        </is>
      </c>
      <c r="B61" s="14" t="inlineStr">
        <is>
          <t>CAND-F66CC7C521D489A9BFE5369C</t>
        </is>
      </c>
      <c r="C61" s="14" t="inlineStr">
        <is>
          <t>WH-MAX-CLUSTER-ASSESS-001</t>
        </is>
      </c>
      <c r="D61" s="14" t="inlineStr">
        <is>
          <t>2234567890123456</t>
        </is>
      </c>
      <c r="E61" s="14" t="inlineStr">
        <is>
          <t>wh-synth-013</t>
        </is>
      </c>
      <c r="F61" s="15" t="inlineStr">
        <is>
          <t>Customer 360</t>
        </is>
      </c>
      <c r="G61" s="16" t="inlineStr">
        <is>
          <t>customer360@databricks.example</t>
        </is>
      </c>
      <c r="H61" s="14" t="inlineStr">
        <is>
          <t>EPOCH-9A590817DDA0E60A1AD14A66</t>
        </is>
      </c>
      <c r="I61" s="18" t="inlineStr">
        <is>
          <t>max_clusters</t>
        </is>
      </c>
      <c r="J61" s="18" t="inlineStr">
        <is>
          <t>NO_CHANGE</t>
        </is>
      </c>
      <c r="K61" s="15" t="inlineStr">
        <is>
          <t>PERFORMANCE</t>
        </is>
      </c>
      <c r="L61" s="15" t="n">
        <v>8</v>
      </c>
      <c r="M61" s="15" t="n">
        <v>8</v>
      </c>
      <c r="N61" s="15" t="inlineStr">
        <is>
          <t>No sustained saturation requiring an increase and no strong evidence for a lower ceiling.</t>
        </is>
      </c>
      <c r="O61" s="21" t="n">
        <v>0.8</v>
      </c>
      <c r="P61" s="18" t="inlineStr">
        <is>
          <t>HIGH</t>
        </is>
      </c>
      <c r="Q61" s="18" t="b">
        <v>1</v>
      </c>
      <c r="R61" s="16" t="inlineStr">
        <is>
          <t>USD</t>
        </is>
      </c>
      <c r="S61" s="18" t="inlineStr">
        <is>
          <t>NO_CHANGE</t>
        </is>
      </c>
      <c r="T61" s="19" t="n">
        <v>58000</v>
      </c>
      <c r="U61" s="19" t="n">
        <v>37670.23</v>
      </c>
      <c r="V61" s="19" t="n">
        <v>95670.23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95670.23</v>
      </c>
      <c r="AG61" s="19" t="n">
        <v>95670.23</v>
      </c>
      <c r="AH61" s="19" t="n">
        <v>95670.23</v>
      </c>
      <c r="AI61" s="18" t="b">
        <v>0</v>
      </c>
      <c r="AJ61" s="18" t="inlineStr">
        <is>
          <t>NOT_APPLIED</t>
        </is>
      </c>
      <c r="AK61" s="16" t="inlineStr">
        <is>
          <t>—</t>
        </is>
      </c>
      <c r="AL61" s="18" t="inlineStr">
        <is>
          <t>—</t>
        </is>
      </c>
      <c r="AM61" s="19" t="inlineStr">
        <is>
          <t>UNAVAILABLE</t>
        </is>
      </c>
      <c r="AN61" s="19" t="inlineStr">
        <is>
          <t>UNAVAILABLE</t>
        </is>
      </c>
      <c r="AO61" s="19" t="inlineStr">
        <is>
          <t>UNAVAILABLE</t>
        </is>
      </c>
      <c r="AP61" s="19" t="inlineStr">
        <is>
          <t>UNAVAILABLE</t>
        </is>
      </c>
      <c r="AQ61" s="18" t="inlineStr">
        <is>
          <t>—</t>
        </is>
      </c>
      <c r="AR61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61" s="22" t="inlineStr">
        <is>
          <t>{"coverage":1.0,"epoch_maturity":1.0,"sample":1.0,"signal":0.7,"stability":0.91}</t>
        </is>
      </c>
      <c r="AT61" s="22" t="inlineStr">
        <is>
          <t>["EVID-9B8E1FCFDF764EB620F8627C","EVID-ECDDE17AA397C1C6C3A2165D","EVID-7A4AC35DF8C26AD31C26B498","EVID-9061C8B86A3E064D3068DD57","EVID-EC1BD88B388D79E675C955D2","EVID-8A2CA1F2CB0AE069280E449E","EVID-EB4062CC3E2A9EE53D82DCE2","EVID-E537D70782B304C239A5C196","EVID-147B3F71E2FD2C372C751AA6","EVID-F434EE37F0A085340B6B5BEE"]</t>
        </is>
      </c>
      <c r="AU61" s="22" t="inlineStr">
        <is>
          <t>{"EVID-147B3F71E2FD2C372C751AA6":{"comparator":"","epoch_scope":"CURRENT","evidence_id":"EVID-147B3F71E2FD2C372C751AA6","interpretation":"Forward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unavailable.","metric":"forward_aws_cost_365d","observation_window":"forward_365d","source":"derived","source_field":"aws_current_epoch_cost_model","threshold":null,"unit":"USD","value":37670.23},"EVID-7A4AC35DF8C26AD31C26B498":{"comparator":"&lt;= reduce-safe","epoch_scope":"CURRENT","evidence_id":"EVID-7A4AC35DF8C26AD31C26B498","interpretation":"Fraction of running time at configured maximum.","metric":"time_at_max_pct","observation_window":"current epoch","source":"system.compute.warehouse_events","source_field":"cluster_count","threshold":1.0,"unit":"%","value":15.0},"EVID-8A2CA1F2CB0AE069280E449E":{"comparator":"&gt;= increase signal","epoch_scope":"CURRENT","evidence_id":"EVID-8A2CA1F2CB0AE069280E449E","interpretation":"Severity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epoch","source":"system.query.history","source_field":"waiting_at_capacity_duration_ms","threshold":30000,"unit":"ms","value":9000},"EVID-9061C8B86A3E064D3068DD57":{"comparator":"&gt;= increase signal","epoch_scope":"CURRENT","evidence_id":"EVID-9061C8B86A3E064D3068DD57","interpretation":"Frequency of capacity queueing.","metric":"queued_query_pct_30","observation_window":"last 30 days within current epoch","source":"system.query.history","source_field":"waiting_at_capacity_duration_ms","threshold":5.0,"unit":"%","value":1.0},"EVID-9B8E1FCFDF764EB620F8627C":{"comparator":"","epoch_scope":"CURRENT","evidence_id":"EVID-9B8E1FCFDF764EB620F8627C","interpretation":"Configured concurrency ceiling.","metric":"max_clusters","observation_window":"current epoch","source":"system.compute.warehouses","source_field":"max_clusters","threshold":null,"unit":"value","value":8},"EVID-E537D70782B304C239A5C196":{"comparator":"","epoch_scope":"CURRENT","evidence_id":"EVID-E537D70782B304C239A5C196","interpretation":"No-change forward DBU cost forecast anchored to the current configuration epoch.","metric":"forward_dbu_cost_365d","observation_window":"forward_365d","source":"derived","source_field":"epoch-runrate-v2.7","threshold":null,"unit":"USD","value":58000.0},"EVID-EB4062CC3E2A9EE53D82DCE2":{"comparator":"","epoch_scope":"CURRENT","evidence_id":"EVID-EB4062CC3E2A9EE53D82DCE2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price","threshold":null,"unit":"USD","value":51040.0},"EVID-EC1BD88B388D79E675C955D2":{"comparator":"&gt;= evidence minimum for increase","epoch_scope":"CURRENT","evidence_id":"EVID-EC1BD88B388D79E675C955D2","interpretation":"Queries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epoch","source":"system.query.history","source_field":"waiting_at_capacity_duration_ms","threshold":20,"unit":"queries","value":98},"EVID-ECDDE17AA397C1C6C3A2165D":{"comparator":"","epoch_scope":"CURRENT","evidence_id":"EVID-ECDDE17AA397C1C6C3A2165D","interpretation":"Highest observed scale level.","metric":"max_observed_clusters","observation_window":"current epoch","source":"system.compute.warehouse_events","source_field":"cluster_count","threshold":null,"unit":"clusters","value":7},"EVID-F434EE37F0A085340B6B5BEE":{"comparator":"","epoch_scope":"CURRENT","evidence_id":"EVID-F434EE37F0A085340B6B5BEE","interpretation":"Calendar-day coverage available to the forward cost model.","metric":"cost_history_days","observation_window":"current_epoch","source":"system.billing.usage","source_field":"usage_date","threshold":null,"unit":"days","value":262}}</t>
        </is>
      </c>
      <c r="AV61" s="22" t="inlineStr">
        <is>
          <t>[{"comparator":"&lt;= reduce-safe","evidence_id":"EVID-7A4AC35DF8C26AD31C26B498","metric":"time_at_max_pct","threshold":1.0},{"comparator":"&gt;= increase signal","evidence_id":"EVID-9061C8B86A3E064D3068DD57","metric":"queued_query_pct_30","threshold":5.0},{"comparator":"&gt;= evidence minimum for increase","evidence_id":"EVID-EC1BD88B388D79E675C955D2","metric":"queued_queries_30","threshold":20},{"comparator":"&gt;= increase signal","evidence_id":"EVID-8A2CA1F2CB0AE069280E449E","metric":"p95_wait_capacity_ms_when_queued_30","threshold":30000}]</t>
        </is>
      </c>
      <c r="AW61" s="22" t="inlineStr">
        <is>
          <t>[{"condition":null,"dependency_type":"KNOB","ref_id":"warehouse_size"}]</t>
        </is>
      </c>
      <c r="AX61" s="22" t="inlineStr">
        <is>
          <t>[]</t>
        </is>
      </c>
      <c r="AY61" s="22" t="inlineStr">
        <is>
          <t>[]</t>
        </is>
      </c>
      <c r="AZ61" s="22" t="inlineStr">
        <is>
          <t>[]</t>
        </is>
      </c>
      <c r="BA61" s="22" t="inlineStr">
        <is>
          <t>[]</t>
        </is>
      </c>
    </row>
    <row r="62" ht="32" customHeight="1">
      <c r="A62" s="14" t="inlineStr">
        <is>
          <t>PKG-07F463C0C249905A57984274</t>
        </is>
      </c>
      <c r="B62" s="14" t="inlineStr">
        <is>
          <t>CAND-062229819F3FCAD00A4C42F2</t>
        </is>
      </c>
      <c r="C62" s="14" t="inlineStr">
        <is>
          <t>WH-MIN-CLUSTER-ASSESS-001</t>
        </is>
      </c>
      <c r="D62" s="14" t="inlineStr">
        <is>
          <t>2234567890123456</t>
        </is>
      </c>
      <c r="E62" s="14" t="inlineStr">
        <is>
          <t>wh-synth-013</t>
        </is>
      </c>
      <c r="F62" s="15" t="inlineStr">
        <is>
          <t>Customer 360</t>
        </is>
      </c>
      <c r="G62" s="16" t="inlineStr">
        <is>
          <t>customer360@databricks.example</t>
        </is>
      </c>
      <c r="H62" s="14" t="inlineStr">
        <is>
          <t>EPOCH-9A590817DDA0E60A1AD14A66</t>
        </is>
      </c>
      <c r="I62" s="18" t="inlineStr">
        <is>
          <t>min_clusters</t>
        </is>
      </c>
      <c r="J62" s="18" t="inlineStr">
        <is>
          <t>NO_CHANGE</t>
        </is>
      </c>
      <c r="K62" s="15" t="inlineStr">
        <is>
          <t>COST</t>
        </is>
      </c>
      <c r="L62" s="15" t="n">
        <v>2</v>
      </c>
      <c r="M62" s="15" t="n">
        <v>2</v>
      </c>
      <c r="N62" s="15" t="inlineStr">
        <is>
          <t>Minimum-cluster reduction is not sufficiently supported by current-epoch evidence.</t>
        </is>
      </c>
      <c r="O62" s="21" t="n">
        <v>0.8</v>
      </c>
      <c r="P62" s="18" t="inlineStr">
        <is>
          <t>HIGH</t>
        </is>
      </c>
      <c r="Q62" s="18" t="b">
        <v>1</v>
      </c>
      <c r="R62" s="16" t="inlineStr">
        <is>
          <t>USD</t>
        </is>
      </c>
      <c r="S62" s="18" t="inlineStr">
        <is>
          <t>NO_CHANGE</t>
        </is>
      </c>
      <c r="T62" s="19" t="n">
        <v>58000</v>
      </c>
      <c r="U62" s="19" t="n">
        <v>37670.23</v>
      </c>
      <c r="V62" s="19" t="n">
        <v>95670.23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95670.23</v>
      </c>
      <c r="AG62" s="19" t="n">
        <v>95670.23</v>
      </c>
      <c r="AH62" s="19" t="n">
        <v>95670.23</v>
      </c>
      <c r="AI62" s="18" t="b">
        <v>0</v>
      </c>
      <c r="AJ62" s="18" t="inlineStr">
        <is>
          <t>NOT_APPLIED</t>
        </is>
      </c>
      <c r="AK62" s="16" t="inlineStr">
        <is>
          <t>—</t>
        </is>
      </c>
      <c r="AL62" s="18" t="inlineStr">
        <is>
          <t>—</t>
        </is>
      </c>
      <c r="AM62" s="19" t="inlineStr">
        <is>
          <t>UNAVAILABLE</t>
        </is>
      </c>
      <c r="AN62" s="19" t="inlineStr">
        <is>
          <t>UNAVAILABLE</t>
        </is>
      </c>
      <c r="AO62" s="19" t="inlineStr">
        <is>
          <t>UNAVAILABLE</t>
        </is>
      </c>
      <c r="AP62" s="19" t="inlineStr">
        <is>
          <t>UNAVAILABLE</t>
        </is>
      </c>
      <c r="AQ62" s="18" t="inlineStr">
        <is>
          <t>—</t>
        </is>
      </c>
      <c r="AR62" s="15" t="inlineStr">
        <is>
          <t>time_at_min_pct &gt;= reduction signal 25.0; queued_query_pct_30 &lt;= safe 0.5; p95_wait_capacity_ms_when_queued_30 &lt;= safe 5000; time_at_max_pct &gt;= blocker 20.0</t>
        </is>
      </c>
      <c r="AS62" s="22" t="inlineStr">
        <is>
          <t>{"coverage":1.0,"epoch_maturity":1.0,"sample":1.0,"signal":0.7,"stability":0.91}</t>
        </is>
      </c>
      <c r="AT62" s="22" t="inlineStr">
        <is>
          <t>["EVID-5701A1693763AB907ED13F14","EVID-1BB42907159AF707FE39C5B1","EVID-100EE4E12A042B6CA6801300","EVID-C65E409498DAAC26BC9A7E6C","EVID-692C1AED9F82E4D968155B44","EVID-EB4062CC3E2A9EE53D82DCE2","EVID-E537D70782B304C239A5C196","EVID-147B3F71E2FD2C372C751AA6","EVID-F434EE37F0A085340B6B5BEE"]</t>
        </is>
      </c>
      <c r="AU62" s="22" t="inlineStr">
        <is>
          <t>{"EVID-100EE4E12A042B6CA6801300":{"comparator":"&lt;= safe","epoch_scope":"CURRENT","evidence_id":"EVID-100EE4E12A042B6CA6801300","interpretation":"Queue guardrail before reducing baseline capacity.","metric":"queued_query_pct_30","observation_window":"last 30 days within current epoch","source":"system.query.history","source_field":"waiting_at_capacity_duration_ms","threshold":0.5,"unit":"%","value":1.0},"EVID-147B3F71E2FD2C372C751AA6":{"comparator":"","epoch_scope":"CURRENT","evidence_id":"EVID-147B3F71E2FD2C372C751AA6","interpretation":"Forward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unavailable.","metric":"forward_aws_cost_365d","observation_window":"forward_365d","source":"derived","source_field":"aws_current_epoch_cost_model","threshold":null,"unit":"USD","value":37670.23},"EVID-1BB42907159AF707FE39C5B1":{"comparator":"&gt;= reduction signal","epoch_scope":"CURRENT","evidence_id":"EVID-1BB42907159AF707FE39C5B1","interpretation":"How often the warehouse sits at its minimum.","metric":"time_at_min_pct","observation_window":"current epoch","source":"system.compute.warehouse_events","source_field":"cluster_count","threshold":25.0,"unit":"%","value":35.0},"EVID-5701A1693763AB907ED13F14":{"comparator":"","epoch_scope":"CURRENT","evidence_id":"EVID-5701A1693763AB907ED13F14","interpretation":"Configured minimum scale.","metric":"min_clusters","observation_window":"current epoch","source":"system.compute.warehouses","source_field":"min_clusters","threshold":null,"unit":"value","value":2},"EVID-692C1AED9F82E4D968155B44":{"comparator":"&gt;= blocker","epoch_scope":"CURRENT","evidence_id":"EVID-692C1AED9F82E4D968155B44","interpretation":"Sustained scale pressure blocks minimum reduction.","metric":"time_at_max_pct","observation_window":"current epoch","source":"system.compute.warehouse_events","source_field":"cluster_count","threshold":20.0,"unit":"%","value":15.0},"EVID-C65E409498DAAC26BC9A7E6C":{"comparator":"&lt;= safe","epoch_scope":"CURRENT","evidence_id":"EVID-C65E409498DAAC26BC9A7E6C","interpretation":"Queue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epoch","source":"system.query.history","source_field":"waiting_at_capacity_duration_ms","threshold":5000,"unit":"ms","value":9000},"EVID-E537D70782B304C239A5C196":{"comparator":"","epoch_scope":"CURRENT","evidence_id":"EVID-E537D70782B304C239A5C196","interpretation":"No-change forward DBU cost forecast anchored to the current configuration epoch.","metric":"forward_dbu_cost_365d","observation_window":"forward_365d","source":"derived","source_field":"epoch-runrate-v2.7","threshold":null,"unit":"USD","value":58000.0},"EVID-EB4062CC3E2A9EE53D82DCE2":{"comparator":"","epoch_scope":"CURRENT","evidence_id":"EVID-EB4062CC3E2A9EE53D82DCE2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price","threshold":null,"unit":"USD","value":51040.0},"EVID-F434EE37F0A085340B6B5BEE":{"comparator":"","epoch_scope":"CURRENT","evidence_id":"EVID-F434EE37F0A085340B6B5BEE","interpretation":"Calendar-day coverage available to the forward cost model.","metric":"cost_history_days","observation_window":"current_epoch","source":"system.billing.usage","source_field":"usage_date","threshold":null,"unit":"days","value":262}}</t>
        </is>
      </c>
      <c r="AV62" s="22" t="inlineStr">
        <is>
          <t>[{"comparator":"&gt;= reduction signal","evidence_id":"EVID-1BB42907159AF707FE39C5B1","metric":"time_at_min_pct","threshold":25.0},{"comparator":"&lt;= safe","evidence_id":"EVID-100EE4E12A042B6CA6801300","metric":"queued_query_pct_30","threshold":0.5},{"comparator":"&lt;= safe","evidence_id":"EVID-C65E409498DAAC26BC9A7E6C","metric":"p95_wait_capacity_ms_when_queued_30","threshold":5000},{"comparator":"&gt;= blocker","evidence_id":"EVID-692C1AED9F82E4D968155B44","metric":"time_at_max_pct","threshold":20.0}]</t>
        </is>
      </c>
      <c r="AW62" s="22" t="inlineStr">
        <is>
          <t>[{"condition":null,"dependency_type":"KNOB","ref_id":"warehouse_size"},{"condition":null,"dependency_type":"KNOB","ref_id":"max_clusters"}]</t>
        </is>
      </c>
      <c r="AX62" s="22" t="inlineStr">
        <is>
          <t>[]</t>
        </is>
      </c>
      <c r="AY62" s="22" t="inlineStr">
        <is>
          <t>["QUEUE_PRESSURE_PRESENT"]</t>
        </is>
      </c>
      <c r="AZ62" s="22" t="inlineStr">
        <is>
          <t>[]</t>
        </is>
      </c>
      <c r="BA62" s="22" t="inlineStr">
        <is>
          <t>[]</t>
        </is>
      </c>
    </row>
    <row r="63" ht="32" customHeight="1">
      <c r="A63" s="14" t="inlineStr">
        <is>
          <t>PKG-07F463C0C249905A57984274</t>
        </is>
      </c>
      <c r="B63" s="14" t="inlineStr">
        <is>
          <t>CAND-184A3C392690D298B3EFD5E3</t>
        </is>
      </c>
      <c r="C63" s="14" t="inlineStr">
        <is>
          <t>WH-AUTOSTOP-REDUCE-001</t>
        </is>
      </c>
      <c r="D63" s="14" t="inlineStr">
        <is>
          <t>2234567890123456</t>
        </is>
      </c>
      <c r="E63" s="14" t="inlineStr">
        <is>
          <t>wh-synth-013</t>
        </is>
      </c>
      <c r="F63" s="15" t="inlineStr">
        <is>
          <t>Customer 360</t>
        </is>
      </c>
      <c r="G63" s="16" t="inlineStr">
        <is>
          <t>customer360@databricks.example</t>
        </is>
      </c>
      <c r="H63" s="14" t="inlineStr">
        <is>
          <t>EPOCH-9A590817DDA0E60A1AD14A66</t>
        </is>
      </c>
      <c r="I63" s="18" t="inlineStr">
        <is>
          <t>auto_stop_minutes</t>
        </is>
      </c>
      <c r="J63" s="18" t="inlineStr">
        <is>
          <t>ACTIONABLE</t>
        </is>
      </c>
      <c r="K63" s="15" t="inlineStr">
        <is>
          <t>COST</t>
        </is>
      </c>
      <c r="L63" s="15" t="n">
        <v>45</v>
      </c>
      <c r="M63" s="15" t="n">
        <v>30</v>
      </c>
      <c r="N63" s="15" t="inlineStr">
        <is>
          <t>Idle-gap evidence supports a lower auto-stop target.</t>
        </is>
      </c>
      <c r="O63" s="21" t="n">
        <v>0.93</v>
      </c>
      <c r="P63" s="18" t="inlineStr">
        <is>
          <t>HIGH</t>
        </is>
      </c>
      <c r="Q63" s="18" t="b">
        <v>1</v>
      </c>
      <c r="R63" s="16" t="inlineStr">
        <is>
          <t>USD</t>
        </is>
      </c>
      <c r="S63" s="18" t="inlineStr">
        <is>
          <t>SAVINGS</t>
        </is>
      </c>
      <c r="T63" s="19" t="n">
        <v>58000</v>
      </c>
      <c r="U63" s="19" t="n">
        <v>37670.23</v>
      </c>
      <c r="V63" s="19" t="n">
        <v>95670.23</v>
      </c>
      <c r="W63" s="19" t="n">
        <v>770.95</v>
      </c>
      <c r="X63" s="19" t="n">
        <v>1156.43</v>
      </c>
      <c r="Y63" s="19" t="n">
        <v>1541.91</v>
      </c>
      <c r="Z63" s="19" t="n">
        <v>500.72</v>
      </c>
      <c r="AA63" s="19" t="n">
        <v>751.09</v>
      </c>
      <c r="AB63" s="19" t="n">
        <v>1001.45</v>
      </c>
      <c r="AC63" s="19" t="n">
        <v>1271.67</v>
      </c>
      <c r="AD63" s="19" t="n">
        <v>1907.52</v>
      </c>
      <c r="AE63" s="19" t="n">
        <v>2543.36</v>
      </c>
      <c r="AF63" s="19" t="n">
        <v>93126.87</v>
      </c>
      <c r="AG63" s="19" t="n">
        <v>93762.71000000001</v>
      </c>
      <c r="AH63" s="19" t="n">
        <v>94398.56</v>
      </c>
      <c r="AI63" s="18" t="b">
        <v>0</v>
      </c>
      <c r="AJ63" s="18" t="inlineStr">
        <is>
          <t>NOT_APPLIED</t>
        </is>
      </c>
      <c r="AK63" s="16" t="inlineStr">
        <is>
          <t>—</t>
        </is>
      </c>
      <c r="AL63" s="18" t="inlineStr">
        <is>
          <t>—</t>
        </is>
      </c>
      <c r="AM63" s="19" t="inlineStr">
        <is>
          <t>UNAVAILABLE</t>
        </is>
      </c>
      <c r="AN63" s="19" t="inlineStr">
        <is>
          <t>UNAVAILABLE</t>
        </is>
      </c>
      <c r="AO63" s="19" t="inlineStr">
        <is>
          <t>UNAVAILABLE</t>
        </is>
      </c>
      <c r="AP63" s="19" t="inlineStr">
        <is>
          <t>UNAVAILABLE</t>
        </is>
      </c>
      <c r="AQ63" s="18" t="inlineStr">
        <is>
          <t>—</t>
        </is>
      </c>
      <c r="AR63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63" s="22" t="inlineStr">
        <is>
          <t>{"coverage":1.0,"epoch_maturity":1.0,"sample":1.0,"signal":1.0,"stability":0.91}</t>
        </is>
      </c>
      <c r="AT63" s="22" t="inlineStr">
        <is>
          <t>["EVID-BF652AC51560329CFD9C0449","EVID-CE5AAF49B736110C9BABD5DF","EVID-4A7E1844228F5FD433A998C6","EVID-05E65620367F546ED7403371","EVID-63B44F71C0B9A791C79ACFAE","EVID-E9763030D2ED61047B419AFA","EVID-14D5F3273317129C41786ABC","EVID-B243D5AFB2596AB542DE4D0B","EVID-EB4062CC3E2A9EE53D82DCE2","EVID-E537D70782B304C239A5C196","EVID-147B3F71E2FD2C372C751AA6","EVID-F434EE37F0A085340B6B5BEE"]</t>
        </is>
      </c>
      <c r="AU63" s="22" t="inlineStr">
        <is>
          <t>{"EVID-05E65620367F546ED7403371":{"comparator":"&gt;= evidence minimum","epoch_scope":"CURRENT","evidence_id":"EVID-05E65620367F546ED7403371","interpretation":"Observed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130000.0},"EVID-147B3F71E2FD2C372C751AA6":{"comparator":"","epoch_scope":"CURRENT","evidence_id":"EVID-147B3F71E2FD2C372C751AA6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unavailable.","metric":"forward_aws_cost_365d","observation_window":"forward_365d","source":"derived","source_field":"aws_current_epoch_cost_model","threshold":null,"unit":"USD","value":37670.23},"EVID-14D5F3273317129C41786ABC":{"comparator":"&gt;= cold-start blocker","epoch_scope":"CURRENT","evidence_id":"EVID-14D5F3273317129C41786ABC","interpretation":"Restart frequency guardrail.","metric":"starts_per_active_day_30","observation_window":"last 30 days within current epoch","source":"system.compute.warehouse_events","source_field":"event_type=STARTING","threshold":0.5,"unit":"starts/day","value":0.1667},"EVID-4A7E1844228F5FD433A998C6":{"comparator":"&gt;= evidence minimum","epoch_scope":"CURRENT","evidence_id":"EVID-4A7E1844228F5FD433A998C6","interpretation":"Non-overlapping inter-query gap sample supporting the auto-stop counterfactual.","metric":"idle_gap_count","observation_window":"current epoch","source":"system.query.history","source_field":"start_time/end_time","threshold":30,"unit":"gaps","value":392},"EVID-63B44F71C0B9A791C79ACFAE":{"comparator":"","epoch_scope":"CURRENT","evidence_id":"EVID-63B44F71C0B9A791C79ACFAE","interpretation":"Queries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epoch","source":"system.query.history","source_field":"waiting_for_compute_duration_ms","threshold":null,"unit":"queries","value":5},"EVID-B243D5AFB2596AB542DE4D0B":{"comparator":"","epoch_scope":"CURRENT","evidence_id":"EVID-B243D5AFB2596AB542DE4D0B","interpretation":"Estimated additional off-time at the candidate target.","metric":"estimated_additional_off_minutes","observation_window":"current epoch","source":"system.query.history","source_field":"inter-query gap","threshold":null,"unit":"minutes","value":1728.0},"EVID-BF652AC51560329CFD9C0449":{"comparator":"&gt; target","epoch_scope":"CURRENT","evidence_id":"EVID-BF652AC51560329CFD9C0449","interpretation":"Current idle termination setting versus deterministic policy target.","metric":"auto_stop_minutes","observation_window":"current epoch","source":"system.compute.warehouses","source_field":"auto_stop_minutes","threshold":30,"unit":"minutes","value":45},"EVID-CE5AAF49B736110C9BABD5DF":{"comparator":"","epoch_scope":"CURRENT","evidence_id":"EVID-CE5AAF49B736110C9BABD5DF","interpretation":"Activity density selects the auto-stop target.","metric":"queries_per_active_day_30","observation_window":"last 30 days within current epoch","source":"system.query.history","source_field":"start_time","threshold":null,"unit":"queries/day","value":326.67},"EVID-E537D70782B304C239A5C196":{"comparator":"","epoch_scope":"CURRENT","evidence_id":"EVID-E537D70782B304C239A5C196","interpretation":"No-change forward DBU cost forecast anchored to the current configuration epoch.","metric":"forward_dbu_cost_365d","observation_window":"forward_365d","source":"derived","source_field":"epoch-runrate-v2.7","threshold":null,"unit":"USD","value":58000.0},"EVID-E9763030D2ED61047B419AFA":{"comparator":"&gt;= cold-start blocker","epoch_scope":"CURRENT","evidence_id":"EVID-E9763030D2ED61047B419AFA","interpretation":"Cold-start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epoch","source":"system.query.history","source_field":"waiting_for_compute_duration_ms","threshold":60000,"unit":"ms","value":3500},"EVID-EB4062CC3E2A9EE53D82DCE2":{"comparator":"","epoch_scope":"CURRENT","evidence_id":"EVID-EB4062CC3E2A9EE53D82DCE2","interpretation":"Observed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price","threshold":null,"unit":"USD","value":51040.0},"EVID-F434EE37F0A085340B6B5BEE":{"comparator":"","epoch_scope":"CURRENT","evidence_id":"EVID-F434EE37F0A085340B6B5BEE","interpretation":"Calendar-day coverage available to the forward cost model.","metric":"cost_history_days","observation_window":"current_epoch","source":"system.billing.usage","source_field":"usage_date","threshold":null,"unit":"days","value":262}}</t>
        </is>
      </c>
      <c r="AV63" s="22" t="inlineStr">
        <is>
          <t>[{"comparator":"&gt; target","evidence_id":"EVID-BF652AC51560329CFD9C0449","metric":"auto_stop_minutes","threshold":30},{"comparator":"&gt;= evidence minimum","evidence_id":"EVID-4A7E1844228F5FD433A998C6","metric":"idle_gap_count","threshold":30},{"comparator":"&gt;= evidence minimum","evidence_id":"EVID-05E65620367F546ED7403371","metric":"cluster_minutes","threshold":1.0},{"comparator":"&gt;= cold-start blocker","evidence_id":"EVID-E9763030D2ED61047B419AFA","metric":"p95_wait_compute_ms_when_waited_30","threshold":60000},{"comparator":"&gt;= cold-start blocker","evidence_id":"EVID-14D5F3273317129C41786ABC","metric":"starts_per_active_day_30","threshold":0.5}]</t>
        </is>
      </c>
      <c r="AW63" s="22" t="inlineStr">
        <is>
          <t>[{"condition":null,"dependency_type":"KNOB","ref_id":"min_clusters"}]</t>
        </is>
      </c>
      <c r="AX63" s="22" t="inlineStr">
        <is>
          <t>[]</t>
        </is>
      </c>
      <c r="AY63" s="22" t="inlineStr">
        <is>
          <t>[]</t>
        </is>
      </c>
      <c r="AZ63" s="22" t="inlineStr">
        <is>
          <t>[{"execution_state":"PENDING_REEVALUATION","scenario_id":"SCN-3ADBD372252C701E8605FDBF","scenario_name":"Plan A — Optimize current warehouse type","step":2}]</t>
        </is>
      </c>
      <c r="BA63" s="22" t="inlineStr">
        <is>
          <t>[]</t>
        </is>
      </c>
    </row>
    <row r="64" ht="32" customHeight="1">
      <c r="A64" s="14" t="inlineStr">
        <is>
          <t>PKG-07F463C0C249905A57984274</t>
        </is>
      </c>
      <c r="B64" s="14" t="inlineStr">
        <is>
          <t>CAND-D3DD9FFE6744CCBBA9B4F934</t>
        </is>
      </c>
      <c r="C64" s="14" t="inlineStr">
        <is>
          <t>WH-SERVERLESS-MIGRATE-001</t>
        </is>
      </c>
      <c r="D64" s="14" t="inlineStr">
        <is>
          <t>2234567890123456</t>
        </is>
      </c>
      <c r="E64" s="14" t="inlineStr">
        <is>
          <t>wh-synth-013</t>
        </is>
      </c>
      <c r="F64" s="15" t="inlineStr">
        <is>
          <t>Customer 360</t>
        </is>
      </c>
      <c r="G64" s="16" t="inlineStr">
        <is>
          <t>customer360@databricks.example</t>
        </is>
      </c>
      <c r="H64" s="14" t="inlineStr">
        <is>
          <t>EPOCH-9A590817DDA0E60A1AD14A66</t>
        </is>
      </c>
      <c r="I64" s="18" t="inlineStr">
        <is>
          <t>warehouse_type</t>
        </is>
      </c>
      <c r="J64" s="18" t="inlineStr">
        <is>
          <t>TEST_REQUIRED</t>
        </is>
      </c>
      <c r="K64" s="15" t="inlineStr">
        <is>
          <t>MIGRATION, COST_AND_PERFORMANCE, OPERATIONS</t>
        </is>
      </c>
      <c r="L64" s="15" t="inlineStr">
        <is>
          <t>PRO</t>
        </is>
      </c>
      <c r="M64" s="15" t="inlineStr">
        <is>
          <t>SERVERLESS</t>
        </is>
      </c>
      <c r="N64" s="15" t="inlineStr">
        <is>
          <t>Serverless is evaluated as a separate migration experiment with a pre-canary DBU/AWS counterfactual and deterministic compatibility gate.</t>
        </is>
      </c>
      <c r="O64" s="21" t="n">
        <v>0.78</v>
      </c>
      <c r="P64" s="18" t="inlineStr">
        <is>
          <t>MEDIUM</t>
        </is>
      </c>
      <c r="Q64" s="18" t="b">
        <v>1</v>
      </c>
      <c r="R64" s="16" t="inlineStr">
        <is>
          <t>USD</t>
        </is>
      </c>
      <c r="S64" s="18" t="inlineStr">
        <is>
          <t>SAVINGS</t>
        </is>
      </c>
      <c r="T64" s="19" t="n">
        <v>58000</v>
      </c>
      <c r="U64" s="19" t="n">
        <v>37670.23</v>
      </c>
      <c r="V64" s="19" t="n">
        <v>95670.23</v>
      </c>
      <c r="W64" s="19" t="n">
        <v>-33017.81</v>
      </c>
      <c r="X64" s="19" t="n">
        <v>-26516.54</v>
      </c>
      <c r="Y64" s="19" t="n">
        <v>44997.46</v>
      </c>
      <c r="Z64" s="19" t="n">
        <v>37670.23</v>
      </c>
      <c r="AA64" s="19" t="n">
        <v>37670.23</v>
      </c>
      <c r="AB64" s="19" t="n">
        <v>37670.23</v>
      </c>
      <c r="AC64" s="19" t="n">
        <v>4652.42</v>
      </c>
      <c r="AD64" s="19" t="n">
        <v>11153.69</v>
      </c>
      <c r="AE64" s="19" t="n">
        <v>82667.69</v>
      </c>
      <c r="AF64" s="19" t="n">
        <v>13002.54</v>
      </c>
      <c r="AG64" s="19" t="n">
        <v>84516.53999999999</v>
      </c>
      <c r="AH64" s="19" t="n">
        <v>91017.81</v>
      </c>
      <c r="AI64" s="18" t="b">
        <v>0</v>
      </c>
      <c r="AJ64" s="18" t="inlineStr">
        <is>
          <t>NOT_APPLIED</t>
        </is>
      </c>
      <c r="AK64" s="16" t="inlineStr">
        <is>
          <t>—</t>
        </is>
      </c>
      <c r="AL64" s="18" t="inlineStr">
        <is>
          <t>—</t>
        </is>
      </c>
      <c r="AM64" s="19" t="inlineStr">
        <is>
          <t>UNAVAILABLE</t>
        </is>
      </c>
      <c r="AN64" s="19" t="inlineStr">
        <is>
          <t>UNAVAILABLE</t>
        </is>
      </c>
      <c r="AO64" s="19" t="inlineStr">
        <is>
          <t>UNAVAILABLE</t>
        </is>
      </c>
      <c r="AP64" s="19" t="inlineStr">
        <is>
          <t>UNAVAILABLE</t>
        </is>
      </c>
      <c r="AQ64" s="18" t="inlineStr">
        <is>
          <t>—</t>
        </is>
      </c>
      <c r="AR64" s="15" t="inlineStr">
        <is>
          <t>No numeric threshold</t>
        </is>
      </c>
      <c r="AS64" s="22" t="inlineStr">
        <is>
          <t>{"coverage":1.0,"epoch_maturity":1.0,"sample":1.0,"signal":1.0,"stability":0.91}</t>
        </is>
      </c>
      <c r="AT64" s="22" t="inlineStr">
        <is>
          <t>["EVID-8F7E3338B58CABACD8A8F19C","EVID-B14E29B030DF322078D9574C","EVID-026EA0A0C1CDA6D5BF6861E0","EVID-BE99070B2138778FAD6323C4","EVID-5DC3FDBE1BD0729F52CEC22D","EVID-51A58BE39546BE7B080FEF30","EVID-1D9D72AFBDB7C1DC2B552C1B","EVID-1BFCD956061A5FF8AD162D6A","EVID-36E316B362E683D130437B68","EVID-55EEA56CA02C609E862A91A9","EVID-F6050662637ABA0BDC2DBA35","EVID-4FC2DA089D8E1230B40C62EC","EVID-DE93964EDC1B9E5DCF7EDE95","EVID-EB4062CC3E2A9EE53D82DCE2","EVID-E537D70782B304C239A5C196","EVID-147B3F71E2FD2C372C751AA6","EVID-F434EE37F0A085340B6B5BEE"]</t>
        </is>
      </c>
      <c r="AU64" s="22" t="inlineStr">
        <is>
          <t>{"EVID-026EA0A0C1CDA6D5BF6861E0":{"comparator":"","epoch_scope":"CURRENT","evidence_id":"EVID-026EA0A0C1CDA6D5BF6861E0","interpretation":"Query-tag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epoch","source":"system.query.history","source_field":"query_tags","threshold":null,"unit":"%","value":70.0},"EVID-147B3F71E2FD2C372C751AA6":{"comparator":"","epoch_scope":"CURRENT","evidence_id":"EVID-147B3F71E2FD2C372C751AA6","interpretation":"Forward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37670.23},"EVID-1BFCD956061A5FF8AD162D6A":{"comparator":"","epoch_scope":"CURRENT","evidence_id":"EVID-1BFCD956061A5FF8AD162D6A","interpretation":"Alert workload mix context.","metric":"alert_queries_30","observation_window":"last 30 days within current epoch","source":"system.query.history","source_field":"query_source.alert_id","threshold":null,"unit":"queries","value":0},"EVID-1D9D72AFBDB7C1DC2B552C1B":{"comparator":"","epoch_scope":"CURRENT","evidence_id":"EVID-1D9D72AFBDB7C1DC2B552C1B","interpretation":"Genie workload mix context.","metric":"genie_queries_30","observation_window":"last 30 days within current epoch","source":"system.query.history","source_field":"query_source.genie_space_id","threshold":null,"unit":"queries","value":0},"EVID-36E316B362E683D130437B68":{"comparator":"","epoch_scope":"CURRENT","evidence_id":"EVID-36E316B362E683D130437B68","interpretation":"Databricks SQL editor/query workload mix context.","metric":"sql_editor_queries_30","observation_window":"last 30 days within current epoch","source":"system.query.history","source_field":"query_source.sql_query_id","threshold":null,"unit":"queries","value":784},"EVID-4FC2DA089D8E1230B40C62EC":{"comparator":"","epoch_scope":"CURRENT","evidence_id":"EVID-4FC2DA089D8E1230B40C62EC","interpretation":"Coverage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epoch","source":"system.query.history","source_field":"statement_text","threshold":null,"unit":"%","value":100.0},"EVID-51A58BE39546BE7B080FEF30":{"comparator":"","epoch_scope":"CURRENT","evidence_id":"EVID-51A58BE39546BE7B080FEF30","interpretation":"Notebook workload mix context.","metric":"notebook_queries_30","observation_window":"last 30 days within current epoch","source":"system.query.history","source_field":"query_source.notebook_id","threshold":null,"unit":"queries","value":0},"EVID-55EEA56CA02C609E862A91A9":{"comparator":"","epoch_scope":"CURRENT","evidence_id":"EVID-55EEA56CA02C609E862A91A9","interpretation":"Power BI client workload mix context.","metric":"power_bi_queries_30","observation_window":"last 30 days within current epoch","source":"system.query.history","source_field":"client_application","threshold":null,"unit":"queries","value":0},"EVID-5DC3FDBE1BD0729F52CEC22D":{"comparator":"","epoch_scope":"CURRENT","evidence_id":"EVID-5DC3FDBE1BD0729F52CEC22D","interpretation":"Job workload mix context.","metric":"job_queries_30","observation_window":"last 30 days within current epoch","source":"system.query.history","source_field":"query_source.job_info.job_id","threshold":null,"unit":"queries","value":7350},"EVID-8F7E3338B58CABACD8A8F19C":{"comparator":"","epoch_scope":"CURRENT","evidence_id":"EVID-8F7E3338B58CABACD8A8F19C","interpretation":"Current warehouse type.","metric":"warehouse_type","observation_window":"current epoch","source":"system.compute.warehouses","source_field":"warehouse_type","threshold":null,"unit":"value","value":"PRO"},"EVID-B14E29B030DF322078D9574C":{"comparator":"","epoch_scope":"CURRENT","evidence_id":"EVID-B14E29B030DF322078D9574C","interpretation":"Observed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days","source":"system.billing.usage","source_field":"product_features.is_serverless","threshold":null,"unit":"%","value":0.0},"EVID-BE99070B2138778FAD6323C4":{"comparator":"","epoch_scope":"CURRENT","evidence_id":"EVID-BE99070B2138778FAD6323C4","interpretation":"Dashboard workload mix context.","metric":"dashboard_queries_30","observation_window":"last 30 days within current epoch","source":"system.query.history","source_field":"query_source.dashboard_id","threshold":null,"unit":"queries","value":0},"EVID-DE93964EDC1B9E5DCF7EDE95":{"comparator":"","epoch_scope":"CURRENT","evidence_id":"EVID-DE93964EDC1B9E5DCF7EDE95","interpretation":"Potential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only)","threshold":null,"unit":"queries","value":0},"EVID-E537D70782B304C239A5C196":{"comparator":"","epoch_scope":"CURRENT","evidence_id":"EVID-E537D70782B304C239A5C196","interpretation":"No-change forward DBU cost forecast anchored to the current configuration epoch.","metric":"forward_dbu_cost_365d","observation_window":"forward_365d","source":"derived","source_field":"epoch-runrate-v2.7","threshold":null,"unit":"USD","value":58000.0},"EVID-EB4062CC3E2A9EE53D82DCE2":{"comparator":"","epoch_scope":"CURRENT","evidence_id":"EVID-EB4062CC3E2A9EE53D82DCE2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price","threshold":null,"unit":"USD","value":51040.0},"EVID-F434EE37F0A085340B6B5BEE":{"comparator":"","epoch_scope":"CURRENT","evidence_id":"EVID-F434EE37F0A085340B6B5BEE","interpretation":"Calendar-day coverage available to the forward cost model.","metric":"cost_history_days","observation_window":"current_epoch","source":"system.billing.usage","source_field":"usage_date","threshold":null,"unit":"days","value":262},"EVID-F6050662637ABA0BDC2DBA35":{"comparator":"","epoch_scope":"CURRENT","evidence_id":"EVID-F6050662637ABA0BDC2DBA35","interpretation":"Tableau client workload mix context.","metric":"tableau_queries_30","observation_window":"last 30 days within current epoch","source":"system.query.history","source_field":"client_application","threshold":null,"unit":"queries","value":0}}</t>
        </is>
      </c>
      <c r="AV64" s="22" t="inlineStr">
        <is>
          <t>[]</t>
        </is>
      </c>
      <c r="AW64" s="22" t="inlineStr">
        <is>
          <t>[]</t>
        </is>
      </c>
      <c r="AX64" s="22" t="inlineStr">
        <is>
          <t>["warehouse_size","max_clusters","min_clusters","auto_stop_minutes"]</t>
        </is>
      </c>
      <c r="AY64" s="22" t="inlineStr">
        <is>
          <t>["A_B_COST_PERFORMANCE_VALIDATION_REQUIRED","SERVERLESS_WORKSPACE_CAPABILITY_NOT_CONFIRMED_FROM_SYSTEM_TABLES"]</t>
        </is>
      </c>
      <c r="AZ64" s="22" t="inlineStr">
        <is>
          <t>[{"execution_state":"READY_FOR_CANARY","scenario_id":"SCN-3B15D95786681E2F1586255E","scenario_name":"Plan B — Serverless migration experiment","step":2}]</t>
        </is>
      </c>
      <c r="BA64" s="22" t="inlineStr">
        <is>
          <t>[]</t>
        </is>
      </c>
    </row>
    <row r="65" ht="32" customHeight="1">
      <c r="A65" s="14" t="inlineStr">
        <is>
          <t>PKG-860F9BF3834486EBE41DF046</t>
        </is>
      </c>
      <c r="B65" s="14" t="inlineStr">
        <is>
          <t>CAND-1531D4BD13B32E9441CF326C</t>
        </is>
      </c>
      <c r="C65" s="14" t="inlineStr">
        <is>
          <t>WH-CHANNEL-CURRENT-001</t>
        </is>
      </c>
      <c r="D65" s="14" t="inlineStr">
        <is>
          <t>2234567890123456</t>
        </is>
      </c>
      <c r="E65" s="14" t="inlineStr">
        <is>
          <t>wh-synth-015</t>
        </is>
      </c>
      <c r="F65" s="15" t="inlineStr">
        <is>
          <t>HR Reporting</t>
        </is>
      </c>
      <c r="G65" s="16" t="inlineStr">
        <is>
          <t>hr-analytics@databricks.example</t>
        </is>
      </c>
      <c r="H65" s="14" t="inlineStr">
        <is>
          <t>EPOCH-8CC20848A6BB8AE8A26C2C16</t>
        </is>
      </c>
      <c r="I65" s="18" t="inlineStr">
        <is>
          <t>warehouse_channel</t>
        </is>
      </c>
      <c r="J65" s="18" t="inlineStr">
        <is>
          <t>NO_CHANGE</t>
        </is>
      </c>
      <c r="K65" s="15" t="inlineStr">
        <is>
          <t>STABILITY</t>
        </is>
      </c>
      <c r="L65" s="15" t="inlineStr">
        <is>
          <t>CURRENT</t>
        </is>
      </c>
      <c r="M65" s="15" t="inlineStr">
        <is>
          <t>CURRENT</t>
        </is>
      </c>
      <c r="N65" s="15" t="inlineStr">
        <is>
          <t>No channel change indicated.</t>
        </is>
      </c>
      <c r="O65" s="21" t="n">
        <v>0.8</v>
      </c>
      <c r="P65" s="18" t="inlineStr">
        <is>
          <t>HIGH</t>
        </is>
      </c>
      <c r="Q65" s="18" t="b">
        <v>1</v>
      </c>
      <c r="R65" s="16" t="inlineStr">
        <is>
          <t>USD</t>
        </is>
      </c>
      <c r="S65" s="18" t="inlineStr">
        <is>
          <t>NO_CHANGE</t>
        </is>
      </c>
      <c r="T65" s="19" t="n">
        <v>15500</v>
      </c>
      <c r="U65" s="19" t="n">
        <v>3615.24</v>
      </c>
      <c r="V65" s="19" t="n">
        <v>19115.24</v>
      </c>
      <c r="W65" s="19" t="n">
        <v>0</v>
      </c>
      <c r="X65" s="19" t="n">
        <v>0</v>
      </c>
      <c r="Y65" s="19" t="n">
        <v>0</v>
      </c>
      <c r="Z65" s="19" t="n">
        <v>0</v>
      </c>
      <c r="AA65" s="19" t="n">
        <v>0</v>
      </c>
      <c r="AB65" s="19" t="n">
        <v>0</v>
      </c>
      <c r="AC65" s="19" t="n">
        <v>0</v>
      </c>
      <c r="AD65" s="19" t="n">
        <v>0</v>
      </c>
      <c r="AE65" s="19" t="n">
        <v>0</v>
      </c>
      <c r="AF65" s="19" t="n">
        <v>19115.24</v>
      </c>
      <c r="AG65" s="19" t="n">
        <v>19115.24</v>
      </c>
      <c r="AH65" s="19" t="n">
        <v>19115.24</v>
      </c>
      <c r="AI65" s="18" t="b">
        <v>0</v>
      </c>
      <c r="AJ65" s="18" t="inlineStr">
        <is>
          <t>NOT_APPLIED</t>
        </is>
      </c>
      <c r="AK65" s="16" t="inlineStr">
        <is>
          <t>—</t>
        </is>
      </c>
      <c r="AL65" s="18" t="inlineStr">
        <is>
          <t>—</t>
        </is>
      </c>
      <c r="AM65" s="19" t="inlineStr">
        <is>
          <t>UNAVAILABLE</t>
        </is>
      </c>
      <c r="AN65" s="19" t="inlineStr">
        <is>
          <t>UNAVAILABLE</t>
        </is>
      </c>
      <c r="AO65" s="19" t="inlineStr">
        <is>
          <t>UNAVAILABLE</t>
        </is>
      </c>
      <c r="AP65" s="19" t="inlineStr">
        <is>
          <t>UNAVAILABLE</t>
        </is>
      </c>
      <c r="AQ65" s="18" t="inlineStr">
        <is>
          <t>—</t>
        </is>
      </c>
      <c r="AR65" s="15" t="inlineStr">
        <is>
          <t>No numeric threshold</t>
        </is>
      </c>
      <c r="AS65" s="22" t="inlineStr">
        <is>
          <t>{"coverage":1.0,"epoch_maturity":1.0,"sample":1.0,"signal":0.7,"stability":0.91}</t>
        </is>
      </c>
      <c r="AT65" s="22" t="inlineStr">
        <is>
          <t>["EVID-F3295EDE47B1C510743F895B","EVID-8DCFC6A0FCF3F29EDAC2E7F6","EVID-507A4213371D1C316C1CC988","EVID-9EAB95FAF297AB482EC4BEDA","EVID-BA44DE5A4FFD511819D160D3"]</t>
        </is>
      </c>
      <c r="AU65" s="22" t="inlineStr">
        <is>
          <t>{"EVID-507A4213371D1C316C1CC988":{"comparator":"","epoch_scope":"CURRENT","evidence_id":"EVID-507A4213371D1C316C1CC988","interpretation":"No-change forward DBU cost forecast anchored to the current configuration epoch.","metric":"forward_dbu_cost_365d","observation_window":"forward_365d","source":"derived","source_field":"epoch-runrate-v2.7","threshold":null,"unit":"USD","value":15500.0},"EVID-8DCFC6A0FCF3F29EDAC2E7F6":{"comparator":"","epoch_scope":"CURRENT","evidence_id":"EVID-8DCFC6A0FCF3F29EDAC2E7F6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price","threshold":null,"unit":"USD","value":13640.0},"EVID-9EAB95FAF297AB482EC4BEDA":{"comparator":"","epoch_scope":"CURRENT","evidence_id":"EVID-9EAB95FAF297AB482EC4BEDA","interpretation":"Forward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3615.24},"EVID-BA44DE5A4FFD511819D160D3":{"comparator":"","epoch_scope":"CURRENT","evidence_id":"EVID-BA44DE5A4FFD511819D160D3","interpretation":"Calendar-day coverage available to the forward cost model.","metric":"cost_history_days","observation_window":"current_epoch","source":"system.billing.usage","source_field":"usage_date","threshold":null,"unit":"days","value":252},"EVID-F3295EDE47B1C510743F895B":{"comparator":"","epoch_scope":"CURRENT","evidence_id":"EVID-F3295EDE47B1C510743F895B","interpretation":"Current release channel from the current configuration epoch.","metric":"warehouse_channel","observation_window":"current epoch","source":"system.compute.warehouses","source_field":"warehouse_channel","threshold":null,"unit":"value","value":"CURRENT"}}</t>
        </is>
      </c>
      <c r="AV65" s="22" t="inlineStr">
        <is>
          <t>[]</t>
        </is>
      </c>
      <c r="AW65" s="22" t="inlineStr">
        <is>
          <t>[]</t>
        </is>
      </c>
      <c r="AX65" s="22" t="inlineStr">
        <is>
          <t>[]</t>
        </is>
      </c>
      <c r="AY65" s="22" t="inlineStr">
        <is>
          <t>[]</t>
        </is>
      </c>
      <c r="AZ65" s="22" t="inlineStr">
        <is>
          <t>[]</t>
        </is>
      </c>
      <c r="BA65" s="22" t="inlineStr">
        <is>
          <t>[]</t>
        </is>
      </c>
    </row>
    <row r="66" ht="32" customHeight="1">
      <c r="A66" s="14" t="inlineStr">
        <is>
          <t>PKG-860F9BF3834486EBE41DF046</t>
        </is>
      </c>
      <c r="B66" s="14" t="inlineStr">
        <is>
          <t>CAND-B6913E34C50A503A1D6DBEA0</t>
        </is>
      </c>
      <c r="C66" s="14" t="inlineStr">
        <is>
          <t>WH-SIZE-DOWNSIZE-001</t>
        </is>
      </c>
      <c r="D66" s="14" t="inlineStr">
        <is>
          <t>2234567890123456</t>
        </is>
      </c>
      <c r="E66" s="14" t="inlineStr">
        <is>
          <t>wh-synth-015</t>
        </is>
      </c>
      <c r="F66" s="15" t="inlineStr">
        <is>
          <t>HR Reporting</t>
        </is>
      </c>
      <c r="G66" s="16" t="inlineStr">
        <is>
          <t>hr-analytics@databricks.example</t>
        </is>
      </c>
      <c r="H66" s="14" t="inlineStr">
        <is>
          <t>EPOCH-8CC20848A6BB8AE8A26C2C16</t>
        </is>
      </c>
      <c r="I66" s="18" t="inlineStr">
        <is>
          <t>warehouse_size</t>
        </is>
      </c>
      <c r="J66" s="18" t="inlineStr">
        <is>
          <t>TEST_REQUIRED</t>
        </is>
      </c>
      <c r="K66" s="15" t="inlineStr">
        <is>
          <t>COST</t>
        </is>
      </c>
      <c r="L66" s="15" t="inlineStr">
        <is>
          <t>SMALL</t>
        </is>
      </c>
      <c r="M66" s="15" t="inlineStr">
        <is>
          <t>X_SMALL</t>
        </is>
      </c>
      <c r="N66" s="15" t="inlineStr">
        <is>
          <t>Low spill, queueing, and latency make one-size down a controlled canary candidate; absence of pressure is not proof of SLA safety.</t>
        </is>
      </c>
      <c r="O66" s="21" t="n">
        <v>0.78</v>
      </c>
      <c r="P66" s="18" t="inlineStr">
        <is>
          <t>MEDIUM</t>
        </is>
      </c>
      <c r="Q66" s="18" t="b">
        <v>1</v>
      </c>
      <c r="R66" s="16" t="inlineStr">
        <is>
          <t>USD</t>
        </is>
      </c>
      <c r="S66" s="18" t="inlineStr">
        <is>
          <t>SAVINGS</t>
        </is>
      </c>
      <c r="T66" s="19" t="n">
        <v>15500</v>
      </c>
      <c r="U66" s="19" t="n">
        <v>3615.24</v>
      </c>
      <c r="V66" s="19" t="n">
        <v>19115.24</v>
      </c>
      <c r="W66" s="19" t="n">
        <v>3487.5</v>
      </c>
      <c r="X66" s="19" t="n">
        <v>5425</v>
      </c>
      <c r="Y66" s="19" t="n">
        <v>6975</v>
      </c>
      <c r="Z66" s="19" t="n">
        <v>813.4299999999999</v>
      </c>
      <c r="AA66" s="19" t="n">
        <v>1265.33</v>
      </c>
      <c r="AB66" s="19" t="n">
        <v>1626.86</v>
      </c>
      <c r="AC66" s="19" t="n">
        <v>4300.93</v>
      </c>
      <c r="AD66" s="19" t="n">
        <v>6690.33</v>
      </c>
      <c r="AE66" s="19" t="n">
        <v>8601.860000000001</v>
      </c>
      <c r="AF66" s="19" t="n">
        <v>10513.38</v>
      </c>
      <c r="AG66" s="19" t="n">
        <v>12424.91</v>
      </c>
      <c r="AH66" s="19" t="n">
        <v>14814.31</v>
      </c>
      <c r="AI66" s="18" t="b">
        <v>0</v>
      </c>
      <c r="AJ66" s="18" t="inlineStr">
        <is>
          <t>NOT_APPLIED</t>
        </is>
      </c>
      <c r="AK66" s="16" t="inlineStr">
        <is>
          <t>—</t>
        </is>
      </c>
      <c r="AL66" s="18" t="inlineStr">
        <is>
          <t>—</t>
        </is>
      </c>
      <c r="AM66" s="19" t="inlineStr">
        <is>
          <t>UNAVAILABLE</t>
        </is>
      </c>
      <c r="AN66" s="19" t="inlineStr">
        <is>
          <t>UNAVAILABLE</t>
        </is>
      </c>
      <c r="AO66" s="19" t="inlineStr">
        <is>
          <t>UNAVAILABLE</t>
        </is>
      </c>
      <c r="AP66" s="19" t="inlineStr">
        <is>
          <t>UNAVAILABLE</t>
        </is>
      </c>
      <c r="AQ66" s="18" t="inlineStr">
        <is>
          <t>—</t>
        </is>
      </c>
      <c r="AR66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66" s="22" t="inlineStr">
        <is>
          <t>{"coverage":1.0,"epoch_maturity":1.0,"sample":1.0,"signal":1.0,"stability":0.91}</t>
        </is>
      </c>
      <c r="AT66" s="22" t="inlineStr">
        <is>
          <t>["EVID-407B8B7358879E2BF927FBC7","EVID-0D810E83CECE50954A7A685C","EVID-4DE0BBBC3685DD0789E6ABE6","EVID-1B042AC3F3DC722F7CBD7EFC","EVID-EB0482919E76BABE5679717F","EVID-DB0003F618B6A5F1F058A80A","EVID-F83AD8E314550D8512193F6A","EVID-13D5BCA568FCB7051CE9D79D","EVID-8DCFC6A0FCF3F29EDAC2E7F6","EVID-507A4213371D1C316C1CC988","EVID-9EAB95FAF297AB482EC4BEDA","EVID-BA44DE5A4FFD511819D160D3"]</t>
        </is>
      </c>
      <c r="AU66" s="22" t="inlineStr">
        <is>
          <t>{"EVID-0D810E83CECE50954A7A685C":{"comparator":"&gt;= upsize signal","epoch_scope":"CURRENT","evidence_id":"EVID-0D810E83CECE50954A7A685C","interpretation":"Frequency of queries spilling to local storage.","metric":"spill_query_pct_30","observation_window":"last 30 days within current epoch","source":"system.query.history","source_field":"spilled_local_bytes","threshold":2.0,"unit":"%","value":0.0},"EVID-13D5BCA568FCB7051CE9D79D":{"comparator":"","epoch_scope":"CURRENT","evidence_id":"EVID-13D5BCA568FCB7051CE9D79D","interpretation":"I/O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epoch","source":"system.query.history","source_field":"read_io_cache_percent","threshold":null,"unit":"%","value":35.0},"EVID-1B042AC3F3DC722F7CBD7EFC":{"comparator":"&gt;= upsize signal","epoch_scope":"CURRENT","evidence_id":"EVID-1B042AC3F3DC722F7CBD7EFC","interpretation":"Severity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epoch","source":"system.query.history","source_field":"spilled_local_bytes","threshold":1073741824,"unit":"bytes","value":0},"EVID-407B8B7358879E2BF927FBC7":{"comparator":"","epoch_scope":"CURRENT","evidence_id":"EVID-407B8B7358879E2BF927FBC7","interpretation":"Current warehouse size.","metric":"warehouse_size","observation_window":"current epoch","source":"system.compute.warehouses","source_field":"warehouse_size","threshold":null,"unit":"value","value":"SMALL"},"EVID-4DE0BBBC3685DD0789E6ABE6":{"comparator":"&gt;= evidence minimum for upsize","epoch_scope":"CURRENT","evidence_id":"EVID-4DE0BBBC3685DD0789E6ABE6","interpretation":"Queries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epoch","source":"system.query.history","source_field":"spilled_local_bytes","threshold":20,"unit":"queries","value":0},"EVID-507A4213371D1C316C1CC988":{"comparator":"","epoch_scope":"CURRENT","evidence_id":"EVID-507A4213371D1C316C1CC988","interpretation":"No-change forward DBU cost forecast anchored to the current configuration epoch.","metric":"forward_dbu_cost_365d","observation_window":"forward_365d","source":"derived","source_field":"epoch-runrate-v2.7","threshold":null,"unit":"USD","value":15500.0},"EVID-8DCFC6A0FCF3F29EDAC2E7F6":{"comparator":"","epoch_scope":"CURRENT","evidence_id":"EVID-8DCFC6A0FCF3F29EDAC2E7F6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price","threshold":null,"unit":"USD","value":13640.0},"EVID-9EAB95FAF297AB482EC4BEDA":{"comparator":"","epoch_scope":"CURRENT","evidence_id":"EVID-9EAB95FAF297AB482EC4BEDA","interpretation":"Forward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3615.24},"EVID-BA44DE5A4FFD511819D160D3":{"comparator":"","epoch_scope":"CURRENT","evidence_id":"EVID-BA44DE5A4FFD511819D160D3","interpretation":"Calendar-day coverage available to the forward cost model.","metric":"cost_history_days","observation_window":"current_epoch","source":"system.billing.usage","source_field":"usage_date","threshold":null,"unit":"days","value":252},"EVID-DB0003F618B6A5F1F058A80A":{"comparator":"&lt;= downsize-safe","epoch_scope":"CURRENT","evidence_id":"EVID-DB0003F618B6A5F1F058A80A","interpretation":"Tail execution latency guardrail.","metric":"p95_execution_ms_30","observation_window":"last 30 days within current epoch","source":"system.query.history","source_field":"execution_duration_ms","threshold":5000,"unit":"ms","value":2000},"EVID-EB0482919E76BABE5679717F":{"comparator":"&lt;= downsize-safe","epoch_scope":"CURRENT","evidence_id":"EVID-EB0482919E76BABE5679717F","interpretation":"Concurrency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epoch","source":"system.query.history","source_field":"waiting_at_capacity_duration_ms","threshold":0.5,"unit":"%","value":0.0},"EVID-F83AD8E314550D8512193F6A":{"comparator":"&lt;= downsize-safe","epoch_scope":"CURRENT","evidence_id":"EVID-F83AD8E314550D8512193F6A","interpretation":"Extreme tail execution latency guardrail.","metric":"p99_execution_ms_30","observation_window":"last 30 days within current epoch","source":"system.query.history","source_field":"execution_duration_ms","threshold":30000,"unit":"ms","value":6000}}</t>
        </is>
      </c>
      <c r="AV66" s="22" t="inlineStr">
        <is>
          <t>[{"comparator":"&gt;= upsize signal","evidence_id":"EVID-0D810E83CECE50954A7A685C","metric":"spill_query_pct_30","threshold":2.0},{"comparator":"&gt;= evidence minimum for upsize","evidence_id":"EVID-4DE0BBBC3685DD0789E6ABE6","metric":"spill_queries_30","threshold":20},{"comparator":"&gt;= upsize signal","evidence_id":"EVID-1B042AC3F3DC722F7CBD7EFC","metric":"p95_spill_bytes_when_spilled_30","threshold":1073741824},{"comparator":"&lt;= downsize-safe","evidence_id":"EVID-EB0482919E76BABE5679717F","metric":"queued_query_pct_30","threshold":0.5},{"comparator":"&lt;= downsize-safe","evidence_id":"EVID-DB0003F618B6A5F1F058A80A","metric":"p95_execution_ms_30","threshold":5000},{"comparator":"&lt;= downsize-safe","evidence_id":"EVID-F83AD8E314550D8512193F6A","metric":"p99_execution_ms_30","threshold":30000}]</t>
        </is>
      </c>
      <c r="AW66" s="22" t="inlineStr">
        <is>
          <t>[{"condition":null,"dependency_type":"KNOB","ref_id":"warehouse_channel"}]</t>
        </is>
      </c>
      <c r="AX66" s="22" t="inlineStr">
        <is>
          <t>["max_clusters","min_clusters","auto_stop_minutes"]</t>
        </is>
      </c>
      <c r="AY66" s="22" t="inlineStr">
        <is>
          <t>["A_B_PERFORMANCE_VALIDATION_REQUIRED"]</t>
        </is>
      </c>
      <c r="AZ66" s="22" t="inlineStr">
        <is>
          <t>[{"execution_state":"READY_FOR_CANARY","scenario_id":"SCN-BBAAF3154665B37B8FCEA1E0","scenario_name":"Plan A — Optimize current warehouse type","step":1}]</t>
        </is>
      </c>
      <c r="BA66" s="22" t="inlineStr">
        <is>
          <t>[]</t>
        </is>
      </c>
    </row>
    <row r="67" ht="32" customHeight="1">
      <c r="A67" s="14" t="inlineStr">
        <is>
          <t>PKG-860F9BF3834486EBE41DF046</t>
        </is>
      </c>
      <c r="B67" s="14" t="inlineStr">
        <is>
          <t>CAND-573D056D65CE4249801B3E1C</t>
        </is>
      </c>
      <c r="C67" s="14" t="inlineStr">
        <is>
          <t>WH-MAX-CLUSTER-ASSESS-001</t>
        </is>
      </c>
      <c r="D67" s="14" t="inlineStr">
        <is>
          <t>2234567890123456</t>
        </is>
      </c>
      <c r="E67" s="14" t="inlineStr">
        <is>
          <t>wh-synth-015</t>
        </is>
      </c>
      <c r="F67" s="15" t="inlineStr">
        <is>
          <t>HR Reporting</t>
        </is>
      </c>
      <c r="G67" s="16" t="inlineStr">
        <is>
          <t>hr-analytics@databricks.example</t>
        </is>
      </c>
      <c r="H67" s="14" t="inlineStr">
        <is>
          <t>EPOCH-8CC20848A6BB8AE8A26C2C16</t>
        </is>
      </c>
      <c r="I67" s="18" t="inlineStr">
        <is>
          <t>max_clusters</t>
        </is>
      </c>
      <c r="J67" s="18" t="inlineStr">
        <is>
          <t>NO_CHANGE</t>
        </is>
      </c>
      <c r="K67" s="15" t="inlineStr">
        <is>
          <t>PERFORMANCE</t>
        </is>
      </c>
      <c r="L67" s="15" t="n">
        <v>2</v>
      </c>
      <c r="M67" s="15" t="n">
        <v>2</v>
      </c>
      <c r="N67" s="15" t="inlineStr">
        <is>
          <t>No sustained saturation requiring an increase and no strong evidence for a lower ceiling.</t>
        </is>
      </c>
      <c r="O67" s="21" t="n">
        <v>0.8</v>
      </c>
      <c r="P67" s="18" t="inlineStr">
        <is>
          <t>HIGH</t>
        </is>
      </c>
      <c r="Q67" s="18" t="b">
        <v>1</v>
      </c>
      <c r="R67" s="16" t="inlineStr">
        <is>
          <t>USD</t>
        </is>
      </c>
      <c r="S67" s="18" t="inlineStr">
        <is>
          <t>NO_CHANGE</t>
        </is>
      </c>
      <c r="T67" s="19" t="n">
        <v>15500</v>
      </c>
      <c r="U67" s="19" t="n">
        <v>3615.24</v>
      </c>
      <c r="V67" s="19" t="n">
        <v>19115.24</v>
      </c>
      <c r="W67" s="19" t="n">
        <v>0</v>
      </c>
      <c r="X67" s="19" t="n">
        <v>0</v>
      </c>
      <c r="Y67" s="19" t="n">
        <v>0</v>
      </c>
      <c r="Z67" s="19" t="n">
        <v>0</v>
      </c>
      <c r="AA67" s="19" t="n">
        <v>0</v>
      </c>
      <c r="AB67" s="19" t="n">
        <v>0</v>
      </c>
      <c r="AC67" s="19" t="n">
        <v>0</v>
      </c>
      <c r="AD67" s="19" t="n">
        <v>0</v>
      </c>
      <c r="AE67" s="19" t="n">
        <v>0</v>
      </c>
      <c r="AF67" s="19" t="n">
        <v>19115.24</v>
      </c>
      <c r="AG67" s="19" t="n">
        <v>19115.24</v>
      </c>
      <c r="AH67" s="19" t="n">
        <v>19115.24</v>
      </c>
      <c r="AI67" s="18" t="b">
        <v>0</v>
      </c>
      <c r="AJ67" s="18" t="inlineStr">
        <is>
          <t>NOT_APPLIED</t>
        </is>
      </c>
      <c r="AK67" s="16" t="inlineStr">
        <is>
          <t>—</t>
        </is>
      </c>
      <c r="AL67" s="18" t="inlineStr">
        <is>
          <t>—</t>
        </is>
      </c>
      <c r="AM67" s="19" t="inlineStr">
        <is>
          <t>UNAVAILABLE</t>
        </is>
      </c>
      <c r="AN67" s="19" t="inlineStr">
        <is>
          <t>UNAVAILABLE</t>
        </is>
      </c>
      <c r="AO67" s="19" t="inlineStr">
        <is>
          <t>UNAVAILABLE</t>
        </is>
      </c>
      <c r="AP67" s="19" t="inlineStr">
        <is>
          <t>UNAVAILABLE</t>
        </is>
      </c>
      <c r="AQ67" s="18" t="inlineStr">
        <is>
          <t>—</t>
        </is>
      </c>
      <c r="AR67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67" s="22" t="inlineStr">
        <is>
          <t>{"coverage":1.0,"epoch_maturity":1.0,"sample":1.0,"signal":0.7,"stability":0.91}</t>
        </is>
      </c>
      <c r="AT67" s="22" t="inlineStr">
        <is>
          <t>["EVID-D204E6427AA6DB80225C18CF","EVID-C051B133A3F60F2431CCB46B","EVID-634399DEE70438016F07F4AE","EVID-6BD43BFD6ABCD42659E7A67E","EVID-D68F79CF3972CCE5B1DFCEAD","EVID-F9465E0B062F91CEDE4AB7CB","EVID-8DCFC6A0FCF3F29EDAC2E7F6","EVID-507A4213371D1C316C1CC988","EVID-9EAB95FAF297AB482EC4BEDA","EVID-BA44DE5A4FFD511819D160D3"]</t>
        </is>
      </c>
      <c r="AU67" s="22" t="inlineStr">
        <is>
          <t>{"EVID-507A4213371D1C316C1CC988":{"comparator":"","epoch_scope":"CURRENT","evidence_id":"EVID-507A4213371D1C316C1CC988","interpretation":"No-change forward DBU cost forecast anchored to the current configuration epoch.","metric":"forward_dbu_cost_365d","observation_window":"forward_365d","source":"derived","source_field":"epoch-runrate-v2.7","threshold":null,"unit":"USD","value":15500.0},"EVID-634399DEE70438016F07F4AE":{"comparator":"&lt;= reduce-safe","epoch_scope":"CURRENT","evidence_id":"EVID-634399DEE70438016F07F4AE","interpretation":"Fraction of running time at configured maximum.","metric":"time_at_max_pct","observation_window":"current epoch","source":"system.compute.warehouse_events","source_field":"cluster_count","threshold":1.0,"unit":"%","value":0.0},"EVID-6BD43BFD6ABCD42659E7A67E":{"comparator":"&gt;= increase signal","epoch_scope":"CURRENT","evidence_id":"EVID-6BD43BFD6ABCD42659E7A67E","interpretation":"Frequency of capacity queueing.","metric":"queued_query_pct_30","observation_window":"last 30 days within current epoch","source":"system.query.history","source_field":"waiting_at_capacity_duration_ms","threshold":5.0,"unit":"%","value":0.0},"EVID-8DCFC6A0FCF3F29EDAC2E7F6":{"comparator":"","epoch_scope":"CURRENT","evidence_id":"EVID-8DCFC6A0FCF3F29EDAC2E7F6","interpretation":"Observed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price","threshold":null,"unit":"USD","value":13640.0},"EVID-9EAB95FAF297AB482EC4BEDA":{"comparator":"","epoch_scope":"CURRENT","evidence_id":"EVID-9EAB95FAF297AB482EC4BEDA","interpretation":"Forward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3615.24},"EVID-BA44DE5A4FFD511819D160D3":{"comparator":"","epoch_scope":"CURRENT","evidence_id":"EVID-BA44DE5A4FFD511819D160D3","interpretation":"Calendar-day coverage available to the forward cost model.","metric":"cost_history_days","observation_window":"current_epoch","source":"system.billing.usage","source_field":"usage_date","threshold":null,"unit":"days","value":252},"EVID-C051B133A3F60F2431CCB46B":{"comparator":"","epoch_scope":"CURRENT","evidence_id":"EVID-C051B133A3F60F2431CCB46B","interpretation":"Highest observed scale level.","metric":"max_observed_clusters","observation_window":"current epoch","source":"system.compute.warehouse_events","source_field":"cluster_count","threshold":null,"unit":"clusters","value":2},"EVID-D204E6427AA6DB80225C18CF":{"comparator":"","epoch_scope":"CURRENT","evidence_id":"EVID-D204E6427AA6DB80225C18CF","interpretation":"Configured concurrency ceiling.","metric":"max_clusters","observation_window":"current epoch","source":"system.compute.warehouses","source_field":"max_clusters","threshold":null,"unit":"value","value":2},"EVID-D68F79CF3972CCE5B1DFCEAD":{"comparator":"&gt;= evidence minimum for increase","epoch_scope":"CURRENT","evidence_id":"EVID-D68F79CF3972CCE5B1DFCEAD","interpretation":"Queries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epoch","source":"system.query.history","source_field":"waiting_at_capacity_duration_ms","threshold":20,"unit":"queries","value":0},"EVID-F9465E0B062F91CEDE4AB7CB":{"comparator":"&gt;= increase signal","epoch_scope":"CURRENT","evidence_id":"EVID-F9465E0B062F91CEDE4AB7CB","interpretation":"Severity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epoch","source":"system.query.history","source_field":"waiting_at_capacity_duration_ms","threshold":30000,"unit":"ms","value":0}}</t>
        </is>
      </c>
      <c r="AV67" s="22" t="inlineStr">
        <is>
          <t>[{"comparator":"&lt;= reduce-safe","evidence_id":"EVID-634399DEE70438016F07F4AE","metric":"time_at_max_pct","threshold":1.0},{"comparator":"&gt;= increase signal","evidence_id":"EVID-6BD43BFD6ABCD42659E7A67E","metric":"queued_query_pct_30","threshold":5.0},{"comparator":"&gt;= evidence minimum for increase","evidence_id":"EVID-D68F79CF3972CCE5B1DFCEAD","metric":"queued_queries_30","threshold":20},{"comparator":"&gt;= increase signal","evidence_id":"EVID-F9465E0B062F91CEDE4AB7CB","metric":"p95_wait_capacity_ms_when_queued_30","threshold":30000}]</t>
        </is>
      </c>
      <c r="AW67" s="22" t="inlineStr">
        <is>
          <t>[{"condition":null,"dependency_type":"KNOB","ref_id":"warehouse_size"}]</t>
        </is>
      </c>
      <c r="AX67" s="22" t="inlineStr">
        <is>
          <t>[]</t>
        </is>
      </c>
      <c r="AY67" s="22" t="inlineStr">
        <is>
          <t>[]</t>
        </is>
      </c>
      <c r="AZ67" s="22" t="inlineStr">
        <is>
          <t>[]</t>
        </is>
      </c>
      <c r="BA67" s="22" t="inlineStr">
        <is>
          <t>[]</t>
        </is>
      </c>
    </row>
    <row r="68" ht="32" customHeight="1">
      <c r="A68" s="14" t="inlineStr">
        <is>
          <t>PKG-860F9BF3834486EBE41DF046</t>
        </is>
      </c>
      <c r="B68" s="14" t="inlineStr">
        <is>
          <t>CAND-C1A802D5E5BEE703D8ED0085</t>
        </is>
      </c>
      <c r="C68" s="14" t="inlineStr">
        <is>
          <t>WH-MIN-CLUSTER-REDUCE-001</t>
        </is>
      </c>
      <c r="D68" s="14" t="inlineStr">
        <is>
          <t>2234567890123456</t>
        </is>
      </c>
      <c r="E68" s="14" t="inlineStr">
        <is>
          <t>wh-synth-015</t>
        </is>
      </c>
      <c r="F68" s="15" t="inlineStr">
        <is>
          <t>HR Reporting</t>
        </is>
      </c>
      <c r="G68" s="16" t="inlineStr">
        <is>
          <t>hr-analytics@databricks.example</t>
        </is>
      </c>
      <c r="H68" s="14" t="inlineStr">
        <is>
          <t>EPOCH-8CC20848A6BB8AE8A26C2C16</t>
        </is>
      </c>
      <c r="I68" s="18" t="inlineStr">
        <is>
          <t>min_clusters</t>
        </is>
      </c>
      <c r="J68" s="18" t="inlineStr">
        <is>
          <t>TEST_REQUIRED</t>
        </is>
      </c>
      <c r="K68" s="15" t="inlineStr">
        <is>
          <t>COST</t>
        </is>
      </c>
      <c r="L68" s="15" t="n">
        <v>2</v>
      </c>
      <c r="M68" s="15" t="n">
        <v>1</v>
      </c>
      <c r="N68" s="15" t="inlineStr">
        <is>
          <t>Warehouse spends substantial time at minimum capacity without queue/scale pressure; time at the floor does not prove a floor cluster was spare, so the reduction is a canary candidate and its savings an upper-bound range.</t>
        </is>
      </c>
      <c r="O68" s="21" t="n">
        <v>0.78</v>
      </c>
      <c r="P68" s="18" t="inlineStr">
        <is>
          <t>MEDIUM</t>
        </is>
      </c>
      <c r="Q68" s="18" t="b">
        <v>1</v>
      </c>
      <c r="R68" s="16" t="inlineStr">
        <is>
          <t>USD</t>
        </is>
      </c>
      <c r="S68" s="18" t="inlineStr">
        <is>
          <t>SAVINGS</t>
        </is>
      </c>
      <c r="T68" s="19" t="n">
        <v>15500</v>
      </c>
      <c r="U68" s="19" t="n">
        <v>3615.24</v>
      </c>
      <c r="V68" s="19" t="n">
        <v>19115.24</v>
      </c>
      <c r="W68" s="19" t="n">
        <v>0</v>
      </c>
      <c r="X68" s="19" t="n">
        <v>3487.5</v>
      </c>
      <c r="Y68" s="19" t="n">
        <v>6975</v>
      </c>
      <c r="Z68" s="19" t="n">
        <v>0</v>
      </c>
      <c r="AA68" s="19" t="n">
        <v>813.4299999999999</v>
      </c>
      <c r="AB68" s="19" t="n">
        <v>1626.86</v>
      </c>
      <c r="AC68" s="19" t="n">
        <v>0</v>
      </c>
      <c r="AD68" s="19" t="n">
        <v>4300.93</v>
      </c>
      <c r="AE68" s="19" t="n">
        <v>8601.860000000001</v>
      </c>
      <c r="AF68" s="19" t="n">
        <v>10513.38</v>
      </c>
      <c r="AG68" s="19" t="n">
        <v>14814.31</v>
      </c>
      <c r="AH68" s="19" t="n">
        <v>19115.24</v>
      </c>
      <c r="AI68" s="18" t="b">
        <v>0</v>
      </c>
      <c r="AJ68" s="18" t="inlineStr">
        <is>
          <t>NOT_APPLIED</t>
        </is>
      </c>
      <c r="AK68" s="16" t="inlineStr">
        <is>
          <t>—</t>
        </is>
      </c>
      <c r="AL68" s="18" t="inlineStr">
        <is>
          <t>—</t>
        </is>
      </c>
      <c r="AM68" s="19" t="inlineStr">
        <is>
          <t>UNAVAILABLE</t>
        </is>
      </c>
      <c r="AN68" s="19" t="inlineStr">
        <is>
          <t>UNAVAILABLE</t>
        </is>
      </c>
      <c r="AO68" s="19" t="inlineStr">
        <is>
          <t>UNAVAILABLE</t>
        </is>
      </c>
      <c r="AP68" s="19" t="inlineStr">
        <is>
          <t>UNAVAILABLE</t>
        </is>
      </c>
      <c r="AQ68" s="18" t="inlineStr">
        <is>
          <t>—</t>
        </is>
      </c>
      <c r="AR68" s="15" t="inlineStr">
        <is>
          <t>time_at_min_pct &gt;= reduction signal 25.0; queued_query_pct_30 &lt;= safe 0.5; p95_wait_capacity_ms_when_queued_30 &lt;= safe 5000; time_at_max_pct &gt;= blocker 20.0</t>
        </is>
      </c>
      <c r="AS68" s="22" t="inlineStr">
        <is>
          <t>{"coverage":1.0,"epoch_maturity":1.0,"sample":1.0,"signal":1.0,"stability":0.91}</t>
        </is>
      </c>
      <c r="AT68" s="22" t="inlineStr">
        <is>
          <t>["EVID-0ED6F46984B7429965251DFA","EVID-BB24712E336B1DE6544A9089","EVID-AAC19684A130CEDB6899D5A4","EVID-5F732C6BD12B85E05433189C","EVID-A77090CFFE32A7F60C21BF7A","EVID-8DCFC6A0FCF3F29EDAC2E7F6","EVID-507A4213371D1C316C1CC988","EVID-9EAB95FAF297AB482EC4BEDA","EVID-BA44DE5A4FFD511819D160D3"]</t>
        </is>
      </c>
      <c r="AU68" s="22" t="inlineStr">
        <is>
          <t>{"EVID-0ED6F46984B7429965251DFA":{"comparator":"","epoch_scope":"CURRENT","evidence_id":"EVID-0ED6F46984B7429965251DFA","interpretation":"Configured minimum scale.","metric":"min_clusters","observation_window":"current epoch","source":"system.compute.warehouses","source_field":"min_clusters","threshold":null,"unit":"value","value":2},"EVID-507A4213371D1C316C1CC988":{"comparator":"","epoch_scope":"CURRENT","evidence_id":"EVID-507A4213371D1C316C1CC988","interpretation":"No-change forward DBU cost forecast anchored to the current configuration epoch.","metric":"forward_dbu_cost_365d","observation_window":"forward_365d","source":"derived","source_field":"epoch-runrate-v2.7","threshold":null,"unit":"USD","value":15500.0},"EVID-5F732C6BD12B85E05433189C":{"comparator":"&lt;= safe","epoch_scope":"CURRENT","evidence_id":"EVID-5F732C6BD12B85E05433189C","interpretation":"Queue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epoch","source":"system.query.history","source_field":"waiting_at_capacity_duration_ms","threshold":5000,"unit":"ms","value":0},"EVID-8DCFC6A0FCF3F29EDAC2E7F6":{"comparator":"","epoch_scope":"CURRENT","evidence_id":"EVID-8DCFC6A0FCF3F29EDAC2E7F6","interpretation":"Observed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price","threshold":null,"unit":"USD","value":13640.0},"EVID-9EAB95FAF297AB482EC4BEDA":{"comparator":"","epoch_scope":"CURRENT","evidence_id":"EVID-9EAB95FAF297AB482EC4BEDA","interpretation":"Forward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unavailable.","metric":"forward_aws_cost_365d","observation_window":"forward_365d","source":"derived","source_field":"aws_current_epoch_cost_model","threshold":null,"unit":"USD","value":3615.24},"EVID-A77090CFFE32A7F60C21BF7A":{"comparator":"&gt;= blocker","epoch_scope":"CURRENT","evidence_id":"EVID-A77090CFFE32A7F60C21BF7A","interpretation":"Sustained scale pressure blocks minimum reduction.","metric":"time_at_max_pct","observation_window":"current epoch","source":"system.compute.warehouse_events","source_field":"cluster_count","threshold":20.0,"unit":"%","value":0.0},"EVID-AAC19684A130CEDB6899D5A4":{"comparator":"&lt;= safe","epoch_scope":"CURRENT","evidence_id":"EVID-AAC19684A130CEDB6899D5A4","interpretation":"Queue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epoch","source":"system.query.history","source_field":"waiting_at_capacity_duration_ms","threshold":0.5,"unit":"%","value":0.0},"EVID-BA44DE5A4FFD511819D160D3":{"comparator":"","epoch_scope":"CURRENT","evidence_id":"EVID-BA44DE5A4FFD511819D160D3","interpretation":"Calendar-day coverage available to the forward cost model.","metric":"cost_history_days","observation_window":"current_epoch","source":"system.billing.usage","source_field":"usage_date","threshold":null,"unit":"days","value":252},"EVID-BB24712E336B1DE6544A9089":{"comparator":"&gt;= reduction signal","epoch_scope":"CURRENT","evidence_id":"EVID-BB24712E336B1DE6544A9089","interpretation":"How often the warehouse sits at its minimum.","metric":"time_at_min_pct","observation_window":"current epoch","source":"system.compute.warehouse_events","source_field":"cluster_count","threshold":25.0,"unit":"%","value":90.0}}</t>
        </is>
      </c>
      <c r="AV68" s="22" t="inlineStr">
        <is>
          <t>[{"comparator":"&gt;= reduction signal","evidence_id":"EVID-BB24712E336B1DE6544A9089","metric":"time_at_min_pct","threshold":25.0},{"comparator":"&lt;= safe","evidence_id":"EVID-AAC19684A130CEDB6899D5A4","metric":"queued_query_pct_30","threshold":0.5},{"comparator":"&lt;= safe","evidence_id":"EVID-5F732C6BD12B85E05433189C","metric":"p95_wait_capacity_ms_when_queued_30","threshold":5000},{"comparator":"&gt;= blocker","evidence_id":"EVID-A77090CFFE32A7F60C21BF7A","metric":"time_at_max_pct","threshold":20.0}]</t>
        </is>
      </c>
      <c r="AW68" s="22" t="inlineStr">
        <is>
          <t>[{"condition":null,"dependency_type":"KNOB","ref_id":"warehouse_size"},{"condition":null,"dependency_type":"KNOB","ref_id":"max_clusters"}]</t>
        </is>
      </c>
      <c r="AX68" s="22" t="inlineStr">
        <is>
          <t>["auto_stop_minutes"]</t>
        </is>
      </c>
      <c r="AY68" s="22" t="inlineStr">
        <is>
          <t>["A_B_PERFORMANCE_VALIDATION_REQUIRED","SPARE_FLOOR_CAPACITY_UNPROVEN"]</t>
        </is>
      </c>
      <c r="AZ68" s="22" t="inlineStr">
        <is>
          <t>[{"execution_state":"PENDING_REEVALUATION","scenario_id":"SCN-BBAAF3154665B37B8FCEA1E0","scenario_name":"Plan A — Optimize current warehouse type","step":2}]</t>
        </is>
      </c>
      <c r="BA68" s="22" t="inlineStr">
        <is>
          <t>[]</t>
        </is>
      </c>
    </row>
    <row r="69" ht="32" customHeight="1">
      <c r="A69" s="14" t="inlineStr">
        <is>
          <t>PKG-860F9BF3834486EBE41DF046</t>
        </is>
      </c>
      <c r="B69" s="14" t="inlineStr">
        <is>
          <t>CAND-0F14BBC11AE756EB5AFB1C96</t>
        </is>
      </c>
      <c r="C69" s="14" t="inlineStr">
        <is>
          <t>WH-AUTOSTOP-REDUCE-001</t>
        </is>
      </c>
      <c r="D69" s="14" t="inlineStr">
        <is>
          <t>2234567890123456</t>
        </is>
      </c>
      <c r="E69" s="14" t="inlineStr">
        <is>
          <t>wh-synth-015</t>
        </is>
      </c>
      <c r="F69" s="15" t="inlineStr">
        <is>
          <t>HR Reporting</t>
        </is>
      </c>
      <c r="G69" s="16" t="inlineStr">
        <is>
          <t>hr-analytics@databricks.example</t>
        </is>
      </c>
      <c r="H69" s="14" t="inlineStr">
        <is>
          <t>EPOCH-8CC20848A6BB8AE8A26C2C16</t>
        </is>
      </c>
      <c r="I69" s="18" t="inlineStr">
        <is>
          <t>auto_stop_minutes</t>
        </is>
      </c>
      <c r="J69" s="18" t="inlineStr">
        <is>
          <t>ACTIONABLE</t>
        </is>
      </c>
      <c r="K69" s="15" t="inlineStr">
        <is>
          <t>COST</t>
        </is>
      </c>
      <c r="L69" s="15" t="n">
        <v>120</v>
      </c>
      <c r="M69" s="15" t="n">
        <v>30</v>
      </c>
      <c r="N69" s="15" t="inlineStr">
        <is>
          <t>Idle-gap evidence supports a lower auto-stop target.</t>
        </is>
      </c>
      <c r="O69" s="21" t="n">
        <v>0.93</v>
      </c>
      <c r="P69" s="18" t="inlineStr">
        <is>
          <t>HIGH</t>
        </is>
      </c>
      <c r="Q69" s="18" t="b">
        <v>1</v>
      </c>
      <c r="R69" s="16" t="inlineStr">
        <is>
          <t>USD</t>
        </is>
      </c>
      <c r="S69" s="18" t="inlineStr">
        <is>
          <t>SAVINGS</t>
        </is>
      </c>
      <c r="T69" s="19" t="n">
        <v>15500</v>
      </c>
      <c r="U69" s="19" t="n">
        <v>3615.24</v>
      </c>
      <c r="V69" s="19" t="n">
        <v>19115.24</v>
      </c>
      <c r="W69" s="19" t="n">
        <v>3069</v>
      </c>
      <c r="X69" s="19" t="n">
        <v>4603.5</v>
      </c>
      <c r="Y69" s="19" t="n">
        <v>6138</v>
      </c>
      <c r="Z69" s="19" t="n">
        <v>715.8200000000001</v>
      </c>
      <c r="AA69" s="19" t="n">
        <v>1073.73</v>
      </c>
      <c r="AB69" s="19" t="n">
        <v>1431.64</v>
      </c>
      <c r="AC69" s="19" t="n">
        <v>3784.82</v>
      </c>
      <c r="AD69" s="19" t="n">
        <v>5677.23</v>
      </c>
      <c r="AE69" s="19" t="n">
        <v>7569.64</v>
      </c>
      <c r="AF69" s="19" t="n">
        <v>11545.6</v>
      </c>
      <c r="AG69" s="19" t="n">
        <v>13438.01</v>
      </c>
      <c r="AH69" s="19" t="n">
        <v>15330.42</v>
      </c>
      <c r="AI69" s="18" t="b">
        <v>0</v>
      </c>
      <c r="AJ69" s="18" t="inlineStr">
        <is>
          <t>NOT_APPLIED</t>
        </is>
      </c>
      <c r="AK69" s="16" t="inlineStr">
        <is>
          <t>—</t>
        </is>
      </c>
      <c r="AL69" s="18" t="inlineStr">
        <is>
          <t>—</t>
        </is>
      </c>
      <c r="AM69" s="19" t="inlineStr">
        <is>
          <t>UNAVAILABLE</t>
        </is>
      </c>
      <c r="AN69" s="19" t="inlineStr">
        <is>
          <t>UNAVAILABLE</t>
        </is>
      </c>
      <c r="AO69" s="19" t="inlineStr">
        <is>
          <t>UNAVAILABLE</t>
        </is>
      </c>
      <c r="AP69" s="19" t="inlineStr">
        <is>
          <t>UNAVAILABLE</t>
        </is>
      </c>
      <c r="AQ69" s="18" t="inlineStr">
        <is>
          <t>—</t>
        </is>
      </c>
      <c r="AR69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69" s="22" t="inlineStr">
        <is>
          <t>{"coverage":1.0,"epoch_maturity":1.0,"sample":1.0,"signal":1.0,"stability":0.91}</t>
        </is>
      </c>
      <c r="AT69" s="22" t="inlineStr">
        <is>
          <t>["EVID-2ECCAF2DEB31C4E6DA63B160","EVID-AAF37F5753DFBD8265CBC705","EVID-B45065D6E10A3C07E0278909","EVID-4D0620980296070C0F13B308","EVID-790EAB5EC858806D654BE4C3","EVID-7C5B36553FD4D6F24464AAE3","EVID-1DD7A19B3B0DF4143675E5FB","EVID-C1A290503A730A2597E04F4F","EVID-8DCFC6A0FCF3F29EDAC2E7F6","EVID-507A4213371D1C316C1CC988","EVID-9EAB95FAF297AB482EC4BEDA","EVID-BA44DE5A4FFD511819D160D3"]</t>
        </is>
      </c>
      <c r="AU69" s="22" t="inlineStr">
        <is>
          <t>{"EVID-1DD7A19B3B0DF4143675E5FB":{"comparator":"&gt;= cold-start blocker","epoch_scope":"CURRENT","evidence_id":"EVID-1DD7A19B3B0DF4143675E5FB","interpretation":"Restart frequency guardrail.","metric":"starts_per_active_day_30","observation_window":"last 30 days within current epoch","source":"system.compute.warehouse_events","source_field":"event_type=STARTING","threshold":0.5,"unit":"starts/day","value":0.1333},"EVID-2ECCAF2DEB31C4E6DA63B160":{"comparator":"&gt; target","epoch_scope":"CURRENT","evidence_id":"EVID-2ECCAF2DEB31C4E6DA63B160","interpretation":"Current idle termination setting versus deterministic policy target.","metric":"auto_stop_minutes","observation_window":"current epoch","source":"system.compute.warehouses","source_field":"auto_stop_minutes","threshold":30,"unit":"minutes","value":120},"EVID-4D0620980296070C0F13B308":{"comparator":"&gt;= evidence minimum","epoch_scope":"CURRENT","evidence_id":"EVID-4D0620980296070C0F13B308","interpretation":"Observed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40000.0},"EVID-507A4213371D1C316C1CC988":{"comparator":"","epoch_scope":"CURRENT","evidence_id":"EVID-507A4213371D1C316C1CC988","interpretation":"No-change forward DBU cost forecast anchored to the current configuration epoch.","metric":"forward_dbu_cost_365d","observation_window":"forward_365d","source":"derived","source_field":"epoch-runrate-v2.7","threshold":null,"unit":"USD","value":15500.0},"EVID-790EAB5EC858806D654BE4C3":{"comparator":"","epoch_scope":"CURRENT","evidence_id":"EVID-790EAB5EC858806D654BE4C3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epoch","source":"system.query.history","source_field":"waiting_for_compute_duration_ms","threshold":null,"unit":"queries","value":4},"EVID-7C5B36553FD4D6F24464AAE3":{"comparator":"&gt;= cold-start blocker","epoch_scope":"CURRENT","evidence_id":"EVID-7C5B36553FD4D6F24464AAE3","interpretation":"Cold-start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epoch","source":"system.query.history","source_field":"waiting_for_compute_duration_ms","threshold":60000,"unit":"ms","value":3500},"EVID-8DCFC6A0FCF3F29EDAC2E7F6":{"comparator":"","epoch_scope":"CURRENT","evidence_id":"EVID-8DCFC6A0FCF3F29EDAC2E7F6","interpretation":"Observed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price","threshold":null,"unit":"USD","value":13640.0},"EVID-9EAB95FAF297AB482EC4BEDA":{"comparator":"","epoch_scope":"CURRENT","evidence_id":"EVID-9EAB95FAF297AB482EC4BEDA","interpretation":"Forward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3615.24},"EVID-AAF37F5753DFBD8265CBC705":{"comparator":"","epoch_scope":"CURRENT","evidence_id":"EVID-AAF37F5753DFBD8265CBC705","interpretation":"Activity density selects the auto-stop target.","metric":"queries_per_active_day_30","observation_window":"last 30 days within current epoch","source":"system.query.history","source_field":"start_time","threshold":null,"unit":"queries/day","value":106.67},"EVID-B45065D6E10A3C07E0278909":{"comparator":"&gt;= evidence minimum","epoch_scope":"CURRENT","evidence_id":"EVID-B45065D6E10A3C07E0278909","interpretation":"Non-overlapping inter-query gap sample supporting the auto-stop counterfactual.","metric":"idle_gap_count","observation_window":"current epoch","source":"system.query.history","source_field":"start_time/end_time","threshold":30,"unit":"gaps","value":128},"EVID-BA44DE5A4FFD511819D160D3":{"comparator":"","epoch_scope":"CURRENT","evidence_id":"EVID-BA44DE5A4FFD511819D160D3","interpretation":"Calendar-day coverage available to the forward cost model.","metric":"cost_history_days","observation_window":"current_epoch","source":"system.billing.usage","source_field":"usage_date","threshold":null,"unit":"days","value":252},"EVID-C1A290503A730A2597E04F4F":{"comparator":"","epoch_scope":"CURRENT","evidence_id":"EVID-C1A290503A730A2597E04F4F","interpretation":"Estimated additional off-time at the candidate target.","metric":"estimated_additional_off_minutes","observation_window":"current epoch","source":"system.query.history","source_field":"inter-query gap","threshold":null,"unit":"minutes","value":7920.0}}</t>
        </is>
      </c>
      <c r="AV69" s="22" t="inlineStr">
        <is>
          <t>[{"comparator":"&gt; target","evidence_id":"EVID-2ECCAF2DEB31C4E6DA63B160","metric":"auto_stop_minutes","threshold":30},{"comparator":"&gt;= evidence minimum","evidence_id":"EVID-B45065D6E10A3C07E0278909","metric":"idle_gap_count","threshold":30},{"comparator":"&gt;= evidence minimum","evidence_id":"EVID-4D0620980296070C0F13B308","metric":"cluster_minutes","threshold":1.0},{"comparator":"&gt;= cold-start blocker","evidence_id":"EVID-7C5B36553FD4D6F24464AAE3","metric":"p95_wait_compute_ms_when_waited_30","threshold":60000},{"comparator":"&gt;= cold-start blocker","evidence_id":"EVID-1DD7A19B3B0DF4143675E5FB","metric":"starts_per_active_day_30","threshold":0.5}]</t>
        </is>
      </c>
      <c r="AW69" s="22" t="inlineStr">
        <is>
          <t>[{"condition":null,"dependency_type":"KNOB","ref_id":"min_clusters"}]</t>
        </is>
      </c>
      <c r="AX69" s="22" t="inlineStr">
        <is>
          <t>[]</t>
        </is>
      </c>
      <c r="AY69" s="22" t="inlineStr">
        <is>
          <t>[]</t>
        </is>
      </c>
      <c r="AZ69" s="22" t="inlineStr">
        <is>
          <t>[{"execution_state":"PENDING_REEVALUATION","scenario_id":"SCN-BBAAF3154665B37B8FCEA1E0","scenario_name":"Plan A — Optimize current warehouse type","step":3}]</t>
        </is>
      </c>
      <c r="BA69" s="22" t="inlineStr">
        <is>
          <t>[]</t>
        </is>
      </c>
    </row>
    <row r="70" ht="32" customHeight="1">
      <c r="A70" s="14" t="inlineStr">
        <is>
          <t>PKG-860F9BF3834486EBE41DF046</t>
        </is>
      </c>
      <c r="B70" s="14" t="inlineStr">
        <is>
          <t>CAND-53AF57B05EB45846CF76155B</t>
        </is>
      </c>
      <c r="C70" s="14" t="inlineStr">
        <is>
          <t>WH-SERVERLESS-MIGRATE-001</t>
        </is>
      </c>
      <c r="D70" s="14" t="inlineStr">
        <is>
          <t>2234567890123456</t>
        </is>
      </c>
      <c r="E70" s="14" t="inlineStr">
        <is>
          <t>wh-synth-015</t>
        </is>
      </c>
      <c r="F70" s="15" t="inlineStr">
        <is>
          <t>HR Reporting</t>
        </is>
      </c>
      <c r="G70" s="16" t="inlineStr">
        <is>
          <t>hr-analytics@databricks.example</t>
        </is>
      </c>
      <c r="H70" s="14" t="inlineStr">
        <is>
          <t>EPOCH-8CC20848A6BB8AE8A26C2C16</t>
        </is>
      </c>
      <c r="I70" s="18" t="inlineStr">
        <is>
          <t>warehouse_type</t>
        </is>
      </c>
      <c r="J70" s="18" t="inlineStr">
        <is>
          <t>TEST_REQUIRED</t>
        </is>
      </c>
      <c r="K70" s="15" t="inlineStr">
        <is>
          <t>MIGRATION, COST_AND_PERFORMANCE, OPERATIONS</t>
        </is>
      </c>
      <c r="L70" s="15" t="inlineStr">
        <is>
          <t>PRO</t>
        </is>
      </c>
      <c r="M70" s="15" t="inlineStr">
        <is>
          <t>SERVERLESS</t>
        </is>
      </c>
      <c r="N70" s="15" t="inlineStr">
        <is>
          <t>Serverless is evaluated as a separate migration experiment with a pre-canary DBU/AWS counterfactual and deterministic compatibility gate.</t>
        </is>
      </c>
      <c r="O70" s="21" t="n">
        <v>0.78</v>
      </c>
      <c r="P70" s="18" t="inlineStr">
        <is>
          <t>MEDIUM</t>
        </is>
      </c>
      <c r="Q70" s="18" t="b">
        <v>1</v>
      </c>
      <c r="R70" s="16" t="inlineStr">
        <is>
          <t>USD</t>
        </is>
      </c>
      <c r="S70" s="18" t="inlineStr">
        <is>
          <t>SAVINGS</t>
        </is>
      </c>
      <c r="T70" s="19" t="n">
        <v>15500</v>
      </c>
      <c r="U70" s="19" t="n">
        <v>3615.24</v>
      </c>
      <c r="V70" s="19" t="n">
        <v>19115.24</v>
      </c>
      <c r="W70" s="19" t="n">
        <v>7388.89</v>
      </c>
      <c r="X70" s="19" t="n">
        <v>7388.89</v>
      </c>
      <c r="Y70" s="19" t="n">
        <v>11444.44</v>
      </c>
      <c r="Z70" s="19" t="n">
        <v>3615.24</v>
      </c>
      <c r="AA70" s="19" t="n">
        <v>3615.24</v>
      </c>
      <c r="AB70" s="19" t="n">
        <v>3615.24</v>
      </c>
      <c r="AC70" s="19" t="n">
        <v>11004.13</v>
      </c>
      <c r="AD70" s="19" t="n">
        <v>11004.13</v>
      </c>
      <c r="AE70" s="19" t="n">
        <v>15059.68</v>
      </c>
      <c r="AF70" s="19" t="n">
        <v>4055.56</v>
      </c>
      <c r="AG70" s="19" t="n">
        <v>8111.11</v>
      </c>
      <c r="AH70" s="19" t="n">
        <v>8111.11</v>
      </c>
      <c r="AI70" s="18" t="b">
        <v>0</v>
      </c>
      <c r="AJ70" s="18" t="inlineStr">
        <is>
          <t>NOT_APPLIED</t>
        </is>
      </c>
      <c r="AK70" s="16" t="inlineStr">
        <is>
          <t>—</t>
        </is>
      </c>
      <c r="AL70" s="18" t="inlineStr">
        <is>
          <t>—</t>
        </is>
      </c>
      <c r="AM70" s="19" t="inlineStr">
        <is>
          <t>UNAVAILABLE</t>
        </is>
      </c>
      <c r="AN70" s="19" t="inlineStr">
        <is>
          <t>UNAVAILABLE</t>
        </is>
      </c>
      <c r="AO70" s="19" t="inlineStr">
        <is>
          <t>UNAVAILABLE</t>
        </is>
      </c>
      <c r="AP70" s="19" t="inlineStr">
        <is>
          <t>UNAVAILABLE</t>
        </is>
      </c>
      <c r="AQ70" s="18" t="inlineStr">
        <is>
          <t>—</t>
        </is>
      </c>
      <c r="AR70" s="15" t="inlineStr">
        <is>
          <t>No numeric threshold</t>
        </is>
      </c>
      <c r="AS70" s="22" t="inlineStr">
        <is>
          <t>{"coverage":1.0,"epoch_maturity":1.0,"sample":1.0,"signal":1.0,"stability":0.91}</t>
        </is>
      </c>
      <c r="AT70" s="22" t="inlineStr">
        <is>
          <t>["EVID-B25BA1B63DF47E9357C97990","EVID-F9A9C7240302A09DAA7D6DD6","EVID-5461C38656FC772B05732F94","EVID-DF9F879685D647BC4173CCB3","EVID-A0DF30623A058D588E6D05E6","EVID-BFECCAA5C954B839B41B3F78","EVID-898523B3F6F9EF7659721E39","EVID-01B0931797AD8E53145A691A","EVID-A385D4A375B81956644C007B","EVID-B9988C289DDAA9B7B6A22290","EVID-83C49754DBFBB0A3F73A8DF0","EVID-B0F8165F4ECE68C2CAF2F705","EVID-F68E95D9A0280257191BA4C5","EVID-8DCFC6A0FCF3F29EDAC2E7F6","EVID-507A4213371D1C316C1CC988","EVID-9EAB95FAF297AB482EC4BEDA","EVID-BA44DE5A4FFD511819D160D3"]</t>
        </is>
      </c>
      <c r="AU70" s="22" t="inlineStr">
        <is>
          <t>{"EVID-01B0931797AD8E53145A691A":{"comparator":"","epoch_scope":"CURRENT","evidence_id":"EVID-01B0931797AD8E53145A691A","interpretation":"Alert workload mix context.","metric":"alert_queries_30","observation_window":"last 30 days within current epoch","source":"system.query.history","source_field":"query_source.alert_id","threshold":null,"unit":"queries","value":0},"EVID-507A4213371D1C316C1CC988":{"comparator":"","epoch_scope":"CURRENT","evidence_id":"EVID-507A4213371D1C316C1CC988","interpretation":"No-change forward DBU cost forecast anchored to the current configuration epoch.","metric":"forward_dbu_cost_365d","observation_window":"forward_365d","source":"derived","source_field":"epoch-runrate-v2.7","threshold":null,"unit":"USD","value":15500.0},"EVID-5461C38656FC772B05732F94":{"comparator":"","epoch_scope":"CURRENT","evidence_id":"EVID-5461C38656FC772B05732F94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epoch","source":"system.query.history","source_field":"query_tags","threshold":null,"unit":"%","value":70.0},"EVID-83C49754DBFBB0A3F73A8DF0":{"comparator":"","epoch_scope":"CURRENT","evidence_id":"EVID-83C49754DBFBB0A3F73A8DF0","interpretation":"Tableau client workload mix context.","metric":"tableau_queries_30","observation_window":"last 30 days within current epoch","source":"system.query.history","source_field":"client_application","threshold":null,"unit":"queries","value":0},"EVID-898523B3F6F9EF7659721E39":{"comparator":"","epoch_scope":"CURRENT","evidence_id":"EVID-898523B3F6F9EF7659721E39","interpretation":"Genie workload mix context.","metric":"genie_queries_30","observation_window":"last 30 days within current epoch","source":"system.query.history","source_field":"query_source.genie_space_id","threshold":null,"unit":"queries","value":0},"EVID-8DCFC6A0FCF3F29EDAC2E7F6":{"comparator":"","epoch_scope":"CURRENT","evidence_id":"EVID-8DCFC6A0FCF3F29EDAC2E7F6","interpretation":"Observed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price","threshold":null,"unit":"USD","value":13640.0},"EVID-9EAB95FAF297AB482EC4BEDA":{"comparator":"","epoch_scope":"CURRENT","evidence_id":"EVID-9EAB95FAF297AB482EC4BEDA","interpretation":"Forward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3615.24},"EVID-A0DF30623A058D588E6D05E6":{"comparator":"","epoch_scope":"CURRENT","evidence_id":"EVID-A0DF30623A058D588E6D05E6","interpretation":"Job workload mix context.","metric":"job_queries_30","observation_window":"last 30 days within current epoch","source":"system.query.history","source_field":"query_source.job_info.job_id","threshold":null,"unit":"queries","value":0},"EVID-A385D4A375B81956644C007B":{"comparator":"","epoch_scope":"CURRENT","evidence_id":"EVID-A385D4A375B81956644C007B","interpretation":"Databricks SQL editor/query workload mix context.","metric":"sql_editor_queries_30","observation_window":"last 30 days within current epoch","source":"system.query.history","source_field":"query_source.sql_query_id","threshold":null,"unit":"queries","value":256},"EVID-B0F8165F4ECE68C2CAF2F705":{"comparator":"","epoch_scope":"CURRENT","evidence_id":"EVID-B0F8165F4ECE68C2CAF2F705","interpretation":"Coverage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epoch","source":"system.query.history","source_field":"statement_text","threshold":null,"unit":"%","value":100.0},"EVID-B25BA1B63DF47E9357C97990":{"comparator":"","epoch_scope":"CURRENT","evidence_id":"EVID-B25BA1B63DF47E9357C97990","interpretation":"Current warehouse type.","metric":"warehouse_type","observation_window":"current epoch","source":"system.compute.warehouses","source_field":"warehouse_type","threshold":null,"unit":"value","value":"PRO"},"EVID-B9988C289DDAA9B7B6A22290":{"comparator":"","epoch_scope":"CURRENT","evidence_id":"EVID-B9988C289DDAA9B7B6A22290","interpretation":"Power BI client workload mix context.","metric":"power_bi_queries_30","observation_window":"last 30 days within current epoch","source":"system.query.history","source_field":"client_application","threshold":null,"unit":"queries","value":800},"EVID-BA44DE5A4FFD511819D160D3":{"comparator":"","epoch_scope":"CURRENT","evidence_id":"EVID-BA44DE5A4FFD511819D160D3","interpretation":"Calendar-day coverage available to the forward cost model.","metric":"cost_history_days","observation_window":"current_epoch","source":"system.billing.usage","source_field":"usage_date","threshold":null,"unit":"days","value":252},"EVID-BFECCAA5C954B839B41B3F78":{"comparator":"","epoch_scope":"CURRENT","evidence_id":"EVID-BFECCAA5C954B839B41B3F78","interpretation":"Notebook workload mix context.","metric":"notebook_queries_30","observation_window":"last 30 days within current epoch","source":"system.query.history","source_field":"query_source.notebook_id","threshold":null,"unit":"queries","value":0},"EVID-DF9F879685D647BC4173CCB3":{"comparator":"","epoch_scope":"CURRENT","evidence_id":"EVID-DF9F879685D647BC4173CCB3","interpretation":"Dashboard workload mix context.","metric":"dashboard_queries_30","observation_window":"last 30 days within current epoch","source":"system.query.history","source_field":"query_source.dashboard_id","threshold":null,"unit":"queries","value":2400},"EVID-F68E95D9A0280257191BA4C5":{"comparator":"","epoch_scope":"CURRENT","evidence_id":"EVID-F68E95D9A0280257191BA4C5","interpretation":"Potential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only)","threshold":null,"unit":"queries","value":0},"EVID-F9A9C7240302A09DAA7D6DD6":{"comparator":"","epoch_scope":"CURRENT","evidence_id":"EVID-F9A9C7240302A09DAA7D6DD6","interpretation":"Observed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days","source":"system.billing.usage","source_field":"product_features.is_serverless","threshold":null,"unit":"%","value":0.0}}</t>
        </is>
      </c>
      <c r="AV70" s="22" t="inlineStr">
        <is>
          <t>[]</t>
        </is>
      </c>
      <c r="AW70" s="22" t="inlineStr">
        <is>
          <t>[]</t>
        </is>
      </c>
      <c r="AX70" s="22" t="inlineStr">
        <is>
          <t>["warehouse_size","max_clusters","min_clusters","auto_stop_minutes"]</t>
        </is>
      </c>
      <c r="AY70" s="22" t="inlineStr">
        <is>
          <t>["A_B_COST_PERFORMANCE_VALIDATION_REQUIRED","SERVERLESS_WORKSPACE_CAPABILITY_NOT_CONFIRMED_FROM_SYSTEM_TABLES"]</t>
        </is>
      </c>
      <c r="AZ70" s="22" t="inlineStr">
        <is>
          <t>[{"execution_state":"READY_FOR_CANARY","scenario_id":"SCN-4C7F7B95C214EEBF380310D5","scenario_name":"Plan B — Serverless migration experiment","step":2}]</t>
        </is>
      </c>
      <c r="BA70" s="22" t="inlineStr">
        <is>
          <t>[]</t>
        </is>
      </c>
    </row>
    <row r="71" ht="32" customHeight="1">
      <c r="A71" s="14" t="inlineStr">
        <is>
          <t>PKG-7BBB53D3EBA7FF15A78C71B4</t>
        </is>
      </c>
      <c r="B71" s="14" t="inlineStr">
        <is>
          <t>CAND-68B1A41A04A2F7483EAD9565</t>
        </is>
      </c>
      <c r="C71" s="14" t="inlineStr">
        <is>
          <t>WH-CHANNEL-CURRENT-001</t>
        </is>
      </c>
      <c r="D71" s="14" t="inlineStr">
        <is>
          <t>2234567890123456</t>
        </is>
      </c>
      <c r="E71" s="14" t="inlineStr">
        <is>
          <t>wh-synth-014</t>
        </is>
      </c>
      <c r="F71" s="15" t="inlineStr">
        <is>
          <t>Ops Dashboards</t>
        </is>
      </c>
      <c r="G71" s="16" t="inlineStr">
        <is>
          <t>operations@databricks.example</t>
        </is>
      </c>
      <c r="H71" s="14" t="inlineStr">
        <is>
          <t>EPOCH-BF33251BF79B5BE8C7BADBFF</t>
        </is>
      </c>
      <c r="I71" s="18" t="inlineStr">
        <is>
          <t>warehouse_channel</t>
        </is>
      </c>
      <c r="J71" s="18" t="inlineStr">
        <is>
          <t>NO_CHANGE</t>
        </is>
      </c>
      <c r="K71" s="15" t="inlineStr">
        <is>
          <t>STABILITY</t>
        </is>
      </c>
      <c r="L71" s="15" t="inlineStr">
        <is>
          <t>CURRENT</t>
        </is>
      </c>
      <c r="M71" s="15" t="inlineStr">
        <is>
          <t>CURRENT</t>
        </is>
      </c>
      <c r="N71" s="15" t="inlineStr">
        <is>
          <t>No channel change indicated.</t>
        </is>
      </c>
      <c r="O71" s="21" t="n">
        <v>0.8</v>
      </c>
      <c r="P71" s="18" t="inlineStr">
        <is>
          <t>HIGH</t>
        </is>
      </c>
      <c r="Q71" s="18" t="b">
        <v>1</v>
      </c>
      <c r="R71" s="16" t="inlineStr">
        <is>
          <t>USD</t>
        </is>
      </c>
      <c r="S71" s="18" t="inlineStr">
        <is>
          <t>NO_CHANGE</t>
        </is>
      </c>
      <c r="T71" s="19" t="n">
        <v>26000</v>
      </c>
      <c r="U71" s="19" t="n">
        <v>5338.12</v>
      </c>
      <c r="V71" s="19" t="n">
        <v>31338.12</v>
      </c>
      <c r="W71" s="19" t="n">
        <v>0</v>
      </c>
      <c r="X71" s="19" t="n">
        <v>0</v>
      </c>
      <c r="Y71" s="19" t="n">
        <v>0</v>
      </c>
      <c r="Z71" s="19" t="n">
        <v>0</v>
      </c>
      <c r="AA71" s="19" t="n">
        <v>0</v>
      </c>
      <c r="AB71" s="19" t="n">
        <v>0</v>
      </c>
      <c r="AC71" s="19" t="n">
        <v>0</v>
      </c>
      <c r="AD71" s="19" t="n">
        <v>0</v>
      </c>
      <c r="AE71" s="19" t="n">
        <v>0</v>
      </c>
      <c r="AF71" s="19" t="n">
        <v>31338.12</v>
      </c>
      <c r="AG71" s="19" t="n">
        <v>31338.12</v>
      </c>
      <c r="AH71" s="19" t="n">
        <v>31338.12</v>
      </c>
      <c r="AI71" s="18" t="b">
        <v>0</v>
      </c>
      <c r="AJ71" s="18" t="inlineStr">
        <is>
          <t>NOT_APPLIED</t>
        </is>
      </c>
      <c r="AK71" s="16" t="inlineStr">
        <is>
          <t>—</t>
        </is>
      </c>
      <c r="AL71" s="18" t="inlineStr">
        <is>
          <t>—</t>
        </is>
      </c>
      <c r="AM71" s="19" t="inlineStr">
        <is>
          <t>UNAVAILABLE</t>
        </is>
      </c>
      <c r="AN71" s="19" t="inlineStr">
        <is>
          <t>UNAVAILABLE</t>
        </is>
      </c>
      <c r="AO71" s="19" t="inlineStr">
        <is>
          <t>UNAVAILABLE</t>
        </is>
      </c>
      <c r="AP71" s="19" t="inlineStr">
        <is>
          <t>UNAVAILABLE</t>
        </is>
      </c>
      <c r="AQ71" s="18" t="inlineStr">
        <is>
          <t>—</t>
        </is>
      </c>
      <c r="AR71" s="15" t="inlineStr">
        <is>
          <t>No numeric threshold</t>
        </is>
      </c>
      <c r="AS71" s="22" t="inlineStr">
        <is>
          <t>{"coverage":1.0,"epoch_maturity":1.0,"sample":1.0,"signal":0.7,"stability":0.91}</t>
        </is>
      </c>
      <c r="AT71" s="22" t="inlineStr">
        <is>
          <t>["EVID-D686C6BEE50D1122355032D0","EVID-075DC68712355A8DD4FE2603","EVID-D3629BE0A19E65713B480452","EVID-7D9BF92BB726FFBAED23FE74","EVID-C531CFB4DE60DA5DFFD90F03"]</t>
        </is>
      </c>
      <c r="AU71" s="22" t="inlineStr">
        <is>
          <t>{"EVID-075DC68712355A8DD4FE2603":{"comparator":"","epoch_scope":"CURRENT","evidence_id":"EVID-075DC68712355A8DD4FE2603","interpretation":"Observed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price","threshold":null,"unit":"USD","value":22880.0},"EVID-7D9BF92BB726FFBAED23FE74":{"comparator":"","epoch_scope":"CURRENT","evidence_id":"EVID-7D9BF92BB726FFBAED23FE74","interpretation":"Forward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5338.12},"EVID-C531CFB4DE60DA5DFFD90F03":{"comparator":"","epoch_scope":"CURRENT","evidence_id":"EVID-C531CFB4DE60DA5DFFD90F03","interpretation":"Calendar-day coverage available to the forward cost model.","metric":"cost_history_days","observation_window":"current_epoch","source":"system.billing.usage","source_field":"usage_date","threshold":null,"unit":"days","value":256},"EVID-D3629BE0A19E65713B480452":{"comparator":"","epoch_scope":"CURRENT","evidence_id":"EVID-D3629BE0A19E65713B480452","interpretation":"No-change forward DBU cost forecast anchored to the current configuration epoch.","metric":"forward_dbu_cost_365d","observation_window":"forward_365d","source":"derived","source_field":"epoch-runrate-v2.7","threshold":null,"unit":"USD","value":26000.0},"EVID-D686C6BEE50D1122355032D0":{"comparator":"","epoch_scope":"CURRENT","evidence_id":"EVID-D686C6BEE50D1122355032D0","interpretation":"Current release channel from the current configuration epoch.","metric":"warehouse_channel","observation_window":"current epoch","source":"system.compute.warehouses","source_field":"warehouse_channel","threshold":null,"unit":"value","value":"CURRENT"}}</t>
        </is>
      </c>
      <c r="AV71" s="22" t="inlineStr">
        <is>
          <t>[]</t>
        </is>
      </c>
      <c r="AW71" s="22" t="inlineStr">
        <is>
          <t>[]</t>
        </is>
      </c>
      <c r="AX71" s="22" t="inlineStr">
        <is>
          <t>[]</t>
        </is>
      </c>
      <c r="AY71" s="22" t="inlineStr">
        <is>
          <t>[]</t>
        </is>
      </c>
      <c r="AZ71" s="22" t="inlineStr">
        <is>
          <t>[]</t>
        </is>
      </c>
      <c r="BA71" s="22" t="inlineStr">
        <is>
          <t>[]</t>
        </is>
      </c>
    </row>
    <row r="72" ht="32" customHeight="1">
      <c r="A72" s="14" t="inlineStr">
        <is>
          <t>PKG-7BBB53D3EBA7FF15A78C71B4</t>
        </is>
      </c>
      <c r="B72" s="14" t="inlineStr">
        <is>
          <t>CAND-3B94CC5756DFC0077D2E12FE</t>
        </is>
      </c>
      <c r="C72" s="14" t="inlineStr">
        <is>
          <t>WH-SIZE-DOWNSIZE-001</t>
        </is>
      </c>
      <c r="D72" s="14" t="inlineStr">
        <is>
          <t>2234567890123456</t>
        </is>
      </c>
      <c r="E72" s="14" t="inlineStr">
        <is>
          <t>wh-synth-014</t>
        </is>
      </c>
      <c r="F72" s="15" t="inlineStr">
        <is>
          <t>Ops Dashboards</t>
        </is>
      </c>
      <c r="G72" s="16" t="inlineStr">
        <is>
          <t>operations@databricks.example</t>
        </is>
      </c>
      <c r="H72" s="14" t="inlineStr">
        <is>
          <t>EPOCH-BF33251BF79B5BE8C7BADBFF</t>
        </is>
      </c>
      <c r="I72" s="18" t="inlineStr">
        <is>
          <t>warehouse_size</t>
        </is>
      </c>
      <c r="J72" s="18" t="inlineStr">
        <is>
          <t>TEST_REQUIRED</t>
        </is>
      </c>
      <c r="K72" s="15" t="inlineStr">
        <is>
          <t>COST</t>
        </is>
      </c>
      <c r="L72" s="15" t="inlineStr">
        <is>
          <t>MEDIUM</t>
        </is>
      </c>
      <c r="M72" s="15" t="inlineStr">
        <is>
          <t>SMALL</t>
        </is>
      </c>
      <c r="N72" s="15" t="inlineStr">
        <is>
          <t>Low spill, queueing, and latency make one-size down a controlled canary candidate; absence of pressure is not proof of SLA safety.</t>
        </is>
      </c>
      <c r="O72" s="21" t="n">
        <v>0.78</v>
      </c>
      <c r="P72" s="18" t="inlineStr">
        <is>
          <t>MEDIUM</t>
        </is>
      </c>
      <c r="Q72" s="18" t="b">
        <v>1</v>
      </c>
      <c r="R72" s="16" t="inlineStr">
        <is>
          <t>USD</t>
        </is>
      </c>
      <c r="S72" s="18" t="inlineStr">
        <is>
          <t>SAVINGS</t>
        </is>
      </c>
      <c r="T72" s="19" t="n">
        <v>26000</v>
      </c>
      <c r="U72" s="19" t="n">
        <v>5338.12</v>
      </c>
      <c r="V72" s="19" t="n">
        <v>31338.12</v>
      </c>
      <c r="W72" s="19" t="n">
        <v>4209.88</v>
      </c>
      <c r="X72" s="19" t="n">
        <v>7724.42</v>
      </c>
      <c r="Y72" s="19" t="n">
        <v>10536.05</v>
      </c>
      <c r="Z72" s="19" t="n">
        <v>1201.08</v>
      </c>
      <c r="AA72" s="19" t="n">
        <v>1868.34</v>
      </c>
      <c r="AB72" s="19" t="n">
        <v>2402.15</v>
      </c>
      <c r="AC72" s="19" t="n">
        <v>5410.96</v>
      </c>
      <c r="AD72" s="19" t="n">
        <v>9592.76</v>
      </c>
      <c r="AE72" s="19" t="n">
        <v>12938.2</v>
      </c>
      <c r="AF72" s="19" t="n">
        <v>18399.92</v>
      </c>
      <c r="AG72" s="19" t="n">
        <v>21745.36</v>
      </c>
      <c r="AH72" s="19" t="n">
        <v>25927.16</v>
      </c>
      <c r="AI72" s="18" t="b">
        <v>0</v>
      </c>
      <c r="AJ72" s="18" t="inlineStr">
        <is>
          <t>NOT_APPLIED</t>
        </is>
      </c>
      <c r="AK72" s="16" t="inlineStr">
        <is>
          <t>—</t>
        </is>
      </c>
      <c r="AL72" s="18" t="inlineStr">
        <is>
          <t>—</t>
        </is>
      </c>
      <c r="AM72" s="19" t="inlineStr">
        <is>
          <t>UNAVAILABLE</t>
        </is>
      </c>
      <c r="AN72" s="19" t="inlineStr">
        <is>
          <t>UNAVAILABLE</t>
        </is>
      </c>
      <c r="AO72" s="19" t="inlineStr">
        <is>
          <t>UNAVAILABLE</t>
        </is>
      </c>
      <c r="AP72" s="19" t="inlineStr">
        <is>
          <t>UNAVAILABLE</t>
        </is>
      </c>
      <c r="AQ72" s="18" t="inlineStr">
        <is>
          <t>—</t>
        </is>
      </c>
      <c r="AR72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72" s="22" t="inlineStr">
        <is>
          <t>{"coverage":1.0,"epoch_maturity":1.0,"sample":1.0,"signal":1.0,"stability":0.91}</t>
        </is>
      </c>
      <c r="AT72" s="22" t="inlineStr">
        <is>
          <t>["EVID-5A0984690AB60FAD1E646F57","EVID-0B236E96CFAADEA401D485D8","EVID-2EB24474879263CAA7D55388","EVID-7CBF6F506E34E48BF4007E49","EVID-4E5FAEE78D56DFC97676075D","EVID-51ED3C0701E326D181DDCBAD","EVID-25BA1C551957EAD856D93BB1","EVID-DBA319585E47DD744C7C91FE","EVID-075DC68712355A8DD4FE2603","EVID-D3629BE0A19E65713B480452","EVID-7D9BF92BB726FFBAED23FE74","EVID-C531CFB4DE60DA5DFFD90F03"]</t>
        </is>
      </c>
      <c r="AU72" s="22" t="inlineStr">
        <is>
          <t>{"EVID-075DC68712355A8DD4FE2603":{"comparator":"","epoch_scope":"CURRENT","evidence_id":"EVID-075DC68712355A8DD4FE2603","interpretation":"Observed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price","threshold":null,"unit":"USD","value":22880.0},"EVID-0B236E96CFAADEA401D485D8":{"comparator":"&gt;= upsize signal","epoch_scope":"CURRENT","evidence_id":"EVID-0B236E96CFAADEA401D485D8","interpretation":"Frequency of queries spilling to local storage.","metric":"spill_query_pct_30","observation_window":"last 30 days within current epoch","source":"system.query.history","source_field":"spilled_local_bytes","threshold":2.0,"unit":"%","value":0.0},"EVID-25BA1C551957EAD856D93BB1":{"comparator":"&lt;= downsize-safe","epoch_scope":"CURRENT","evidence_id":"EVID-25BA1C551957EAD856D93BB1","interpretation":"Extreme tail execution latency guardrail.","metric":"p99_execution_ms_30","observation_window":"last 30 days within current epoch","source":"system.query.history","source_field":"execution_duration_ms","threshold":30000,"unit":"ms","value":7200},"EVID-2EB24474879263CAA7D55388":{"comparator":"&gt;= evidence minimum for upsize","epoch_scope":"CURRENT","evidence_id":"EVID-2EB24474879263CAA7D55388","interpretation":"Queries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epoch","source":"system.query.history","source_field":"spilled_local_bytes","threshold":20,"unit":"queries","value":0},"EVID-4E5FAEE78D56DFC97676075D":{"comparator":"&lt;= downsize-safe","epoch_scope":"CURRENT","evidence_id":"EVID-4E5FAEE78D56DFC97676075D","interpretation":"Concurrency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epoch","source":"system.query.history","source_field":"waiting_at_capacity_duration_ms","threshold":0.5,"unit":"%","value":0.0},"EVID-51ED3C0701E326D181DDCBAD":{"comparator":"&lt;= downsize-safe","epoch_scope":"CURRENT","evidence_id":"EVID-51ED3C0701E326D181DDCBAD","interpretation":"Tail execution latency guardrail.","metric":"p95_execution_ms_30","observation_window":"last 30 days within current epoch","source":"system.query.history","source_field":"execution_duration_ms","threshold":5000,"unit":"ms","value":2100},"EVID-5A0984690AB60FAD1E646F57":{"comparator":"","epoch_scope":"CURRENT","evidence_id":"EVID-5A0984690AB60FAD1E646F57","interpretation":"Current warehouse size.","metric":"warehouse_size","observation_window":"current epoch","source":"system.compute.warehouses","source_field":"warehouse_size","threshold":null,"unit":"value","value":"MEDIUM"},"EVID-7CBF6F506E34E48BF4007E49":{"comparator":"&gt;= upsize signal","epoch_scope":"CURRENT","evidence_id":"EVID-7CBF6F506E34E48BF4007E49","interpretation":"Severity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epoch","source":"system.query.history","source_field":"spilled_local_bytes","threshold":1073741824,"unit":"bytes","value":0},"EVID-7D9BF92BB726FFBAED23FE74":{"comparator":"","epoch_scope":"CURRENT","evidence_id":"EVID-7D9BF92BB726FFBAED23FE74","interpretation":"Forward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5338.12},"EVID-C531CFB4DE60DA5DFFD90F03":{"comparator":"","epoch_scope":"CURRENT","evidence_id":"EVID-C531CFB4DE60DA5DFFD90F03","interpretation":"Calendar-day coverage available to the forward cost model.","metric":"cost_history_days","observation_window":"current_epoch","source":"system.billing.usage","source_field":"usage_date","threshold":null,"unit":"days","value":256},"EVID-D3629BE0A19E65713B480452":{"comparator":"","epoch_scope":"CURRENT","evidence_id":"EVID-D3629BE0A19E65713B480452","interpretation":"No-change forward DBU cost forecast anchored to the current configuration epoch.","metric":"forward_dbu_cost_365d","observation_window":"forward_365d","source":"derived","source_field":"epoch-runrate-v2.7","threshold":null,"unit":"USD","value":26000.0},"EVID-DBA319585E47DD744C7C91FE":{"comparator":"","epoch_scope":"CURRENT","evidence_id":"EVID-DBA319585E47DD744C7C91FE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epoch","source":"system.query.history","source_field":"read_io_cache_percent","threshold":null,"unit":"%","value":35.0}}</t>
        </is>
      </c>
      <c r="AV72" s="22" t="inlineStr">
        <is>
          <t>[{"comparator":"&gt;= upsize signal","evidence_id":"EVID-0B236E96CFAADEA401D485D8","metric":"spill_query_pct_30","threshold":2.0},{"comparator":"&gt;= evidence minimum for upsize","evidence_id":"EVID-2EB24474879263CAA7D55388","metric":"spill_queries_30","threshold":20},{"comparator":"&gt;= upsize signal","evidence_id":"EVID-7CBF6F506E34E48BF4007E49","metric":"p95_spill_bytes_when_spilled_30","threshold":1073741824},{"comparator":"&lt;= downsize-safe","evidence_id":"EVID-4E5FAEE78D56DFC97676075D","metric":"queued_query_pct_30","threshold":0.5},{"comparator":"&lt;= downsize-safe","evidence_id":"EVID-51ED3C0701E326D181DDCBAD","metric":"p95_execution_ms_30","threshold":5000},{"comparator":"&lt;= downsize-safe","evidence_id":"EVID-25BA1C551957EAD856D93BB1","metric":"p99_execution_ms_30","threshold":30000}]</t>
        </is>
      </c>
      <c r="AW72" s="22" t="inlineStr">
        <is>
          <t>[{"condition":null,"dependency_type":"KNOB","ref_id":"warehouse_channel"}]</t>
        </is>
      </c>
      <c r="AX72" s="22" t="inlineStr">
        <is>
          <t>["max_clusters","min_clusters","auto_stop_minutes"]</t>
        </is>
      </c>
      <c r="AY72" s="22" t="inlineStr">
        <is>
          <t>["A_B_PERFORMANCE_VALIDATION_REQUIRED"]</t>
        </is>
      </c>
      <c r="AZ72" s="22" t="inlineStr">
        <is>
          <t>[{"execution_state":"READY_FOR_CANARY","scenario_id":"SCN-B1AE3151CA3DFABC9D6F87A2","scenario_name":"Plan A — Optimize current warehouse type","step":1}]</t>
        </is>
      </c>
      <c r="BA72" s="22" t="inlineStr">
        <is>
          <t>[]</t>
        </is>
      </c>
    </row>
    <row r="73" ht="32" customHeight="1">
      <c r="A73" s="14" t="inlineStr">
        <is>
          <t>PKG-7BBB53D3EBA7FF15A78C71B4</t>
        </is>
      </c>
      <c r="B73" s="14" t="inlineStr">
        <is>
          <t>CAND-F89285A886F733FCF48A39F5</t>
        </is>
      </c>
      <c r="C73" s="14" t="inlineStr">
        <is>
          <t>WH-MAX-CLUSTER-REDUCE-001</t>
        </is>
      </c>
      <c r="D73" s="14" t="inlineStr">
        <is>
          <t>2234567890123456</t>
        </is>
      </c>
      <c r="E73" s="14" t="inlineStr">
        <is>
          <t>wh-synth-014</t>
        </is>
      </c>
      <c r="F73" s="15" t="inlineStr">
        <is>
          <t>Ops Dashboards</t>
        </is>
      </c>
      <c r="G73" s="16" t="inlineStr">
        <is>
          <t>operations@databricks.example</t>
        </is>
      </c>
      <c r="H73" s="14" t="inlineStr">
        <is>
          <t>EPOCH-BF33251BF79B5BE8C7BADBFF</t>
        </is>
      </c>
      <c r="I73" s="18" t="inlineStr">
        <is>
          <t>max_clusters</t>
        </is>
      </c>
      <c r="J73" s="18" t="inlineStr">
        <is>
          <t>ACTIONABLE</t>
        </is>
      </c>
      <c r="K73" s="15" t="inlineStr">
        <is>
          <t>COST_GUARDRAIL</t>
        </is>
      </c>
      <c r="L73" s="15" t="n">
        <v>8</v>
      </c>
      <c r="M73" s="15" t="n">
        <v>3</v>
      </c>
      <c r="N73" s="15" t="inlineStr">
        <is>
          <t>The configured ceiling has not been used and queue pressure is low; tighten the guardrail without claiming direct savings.</t>
        </is>
      </c>
      <c r="O73" s="21" t="n">
        <v>0.93</v>
      </c>
      <c r="P73" s="18" t="inlineStr">
        <is>
          <t>HIGH</t>
        </is>
      </c>
      <c r="Q73" s="18" t="b">
        <v>1</v>
      </c>
      <c r="R73" s="16" t="inlineStr">
        <is>
          <t>USD</t>
        </is>
      </c>
      <c r="S73" s="18" t="inlineStr">
        <is>
          <t>NO_CHANGE</t>
        </is>
      </c>
      <c r="T73" s="19" t="n">
        <v>26000</v>
      </c>
      <c r="U73" s="19" t="n">
        <v>5338.12</v>
      </c>
      <c r="V73" s="19" t="n">
        <v>31338.12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31338.12</v>
      </c>
      <c r="AG73" s="19" t="n">
        <v>31338.12</v>
      </c>
      <c r="AH73" s="19" t="n">
        <v>31338.12</v>
      </c>
      <c r="AI73" s="18" t="b">
        <v>0</v>
      </c>
      <c r="AJ73" s="18" t="inlineStr">
        <is>
          <t>NOT_APPLIED</t>
        </is>
      </c>
      <c r="AK73" s="16" t="inlineStr">
        <is>
          <t>—</t>
        </is>
      </c>
      <c r="AL73" s="18" t="inlineStr">
        <is>
          <t>—</t>
        </is>
      </c>
      <c r="AM73" s="19" t="inlineStr">
        <is>
          <t>UNAVAILABLE</t>
        </is>
      </c>
      <c r="AN73" s="19" t="inlineStr">
        <is>
          <t>UNAVAILABLE</t>
        </is>
      </c>
      <c r="AO73" s="19" t="inlineStr">
        <is>
          <t>UNAVAILABLE</t>
        </is>
      </c>
      <c r="AP73" s="19" t="inlineStr">
        <is>
          <t>UNAVAILABLE</t>
        </is>
      </c>
      <c r="AQ73" s="18" t="inlineStr">
        <is>
          <t>—</t>
        </is>
      </c>
      <c r="AR73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73" s="22" t="inlineStr">
        <is>
          <t>{"coverage":1.0,"epoch_maturity":1.0,"sample":1.0,"signal":1.0,"stability":0.91}</t>
        </is>
      </c>
      <c r="AT73" s="22" t="inlineStr">
        <is>
          <t>["EVID-6E3CC48635A168300AFD9101","EVID-1DD41E094BAD58A2025478A3","EVID-58873DCCF86A22B7C49B25C7","EVID-2981DA47184B33DAA0E0AEF3","EVID-51ABDD6192C632754DC043A4","EVID-B497C3FF5ED3D8789DC6D823","EVID-075DC68712355A8DD4FE2603","EVID-D3629BE0A19E65713B480452","EVID-7D9BF92BB726FFBAED23FE74","EVID-C531CFB4DE60DA5DFFD90F03"]</t>
        </is>
      </c>
      <c r="AU73" s="22" t="inlineStr">
        <is>
          <t>{"EVID-075DC68712355A8DD4FE2603":{"comparator":"","epoch_scope":"CURRENT","evidence_id":"EVID-075DC68712355A8DD4FE2603","interpretation":"Observed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price","threshold":null,"unit":"USD","value":22880.0},"EVID-1DD41E094BAD58A2025478A3":{"comparator":"","epoch_scope":"CURRENT","evidence_id":"EVID-1DD41E094BAD58A2025478A3","interpretation":"Highest observed scale level.","metric":"max_observed_clusters","observation_window":"current epoch","source":"system.compute.warehouse_events","source_field":"cluster_count","threshold":null,"unit":"clusters","value":2},"EVID-2981DA47184B33DAA0E0AEF3":{"comparator":"&gt;= increase signal","epoch_scope":"CURRENT","evidence_id":"EVID-2981DA47184B33DAA0E0AEF3","interpretation":"Frequency of capacity queueing.","metric":"queued_query_pct_30","observation_window":"last 30 days within current epoch","source":"system.query.history","source_field":"waiting_at_capacity_duration_ms","threshold":5.0,"unit":"%","value":0.0},"EVID-51ABDD6192C632754DC043A4":{"comparator":"&gt;= evidence minimum for increase","epoch_scope":"CURRENT","evidence_id":"EVID-51ABDD6192C632754DC043A4","interpretation":"Queries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epoch","source":"system.query.history","source_field":"waiting_at_capacity_duration_ms","threshold":20,"unit":"queries","value":0},"EVID-58873DCCF86A22B7C49B25C7":{"comparator":"&lt;= reduce-safe","epoch_scope":"CURRENT","evidence_id":"EVID-58873DCCF86A22B7C49B25C7","interpretation":"Fraction of running time at configured maximum.","metric":"time_at_max_pct","observation_window":"current epoch","source":"system.compute.warehouse_events","source_field":"cluster_count","threshold":1.0,"unit":"%","value":0.0},"EVID-6E3CC48635A168300AFD9101":{"comparator":"","epoch_scope":"CURRENT","evidence_id":"EVID-6E3CC48635A168300AFD9101","interpretation":"Configured concurrency ceiling.","metric":"max_clusters","observation_window":"current epoch","source":"system.compute.warehouses","source_field":"max_clusters","threshold":null,"unit":"value","value":8},"EVID-7D9BF92BB726FFBAED23FE74":{"comparator":"","epoch_scope":"CURRENT","evidence_id":"EVID-7D9BF92BB726FFBAED23FE74","interpretation":"Forward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unavailable.","metric":"forward_aws_cost_365d","observation_window":"forward_365d","source":"derived","source_field":"aws_current_epoch_cost_model","threshold":null,"unit":"USD","value":5338.12},"EVID-B497C3FF5ED3D8789DC6D823":{"comparator":"&gt;= increase signal","epoch_scope":"CURRENT","evidence_id":"EVID-B497C3FF5ED3D8789DC6D823","interpretation":"Severity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epoch","source":"system.query.history","source_field":"waiting_at_capacity_duration_ms","threshold":30000,"unit":"ms","value":0},"EVID-C531CFB4DE60DA5DFFD90F03":{"comparator":"","epoch_scope":"CURRENT","evidence_id":"EVID-C531CFB4DE60DA5DFFD90F03","interpretation":"Calendar-day coverage available to the forward cost model.","metric":"cost_history_days","observation_window":"current_epoch","source":"system.billing.usage","source_field":"usage_date","threshold":null,"unit":"days","value":256},"EVID-D3629BE0A19E65713B480452":{"comparator":"","epoch_scope":"CURRENT","evidence_id":"EVID-D3629BE0A19E65713B480452","interpretation":"No-change forward DBU cost forecast anchored to the current configuration epoch.","metric":"forward_dbu_cost_365d","observation_window":"forward_365d","source":"derived","source_field":"epoch-runrate-v2.7","threshold":null,"unit":"USD","value":26000.0}}</t>
        </is>
      </c>
      <c r="AV73" s="22" t="inlineStr">
        <is>
          <t>[{"comparator":"&lt;= reduce-safe","evidence_id":"EVID-58873DCCF86A22B7C49B25C7","metric":"time_at_max_pct","threshold":1.0},{"comparator":"&gt;= increase signal","evidence_id":"EVID-2981DA47184B33DAA0E0AEF3","metric":"queued_query_pct_30","threshold":5.0},{"comparator":"&gt;= evidence minimum for increase","evidence_id":"EVID-51ABDD6192C632754DC043A4","metric":"queued_queries_30","threshold":20},{"comparator":"&gt;= increase signal","evidence_id":"EVID-B497C3FF5ED3D8789DC6D823","metric":"p95_wait_capacity_ms_when_queued_30","threshold":30000}]</t>
        </is>
      </c>
      <c r="AW73" s="22" t="inlineStr">
        <is>
          <t>[{"condition":null,"dependency_type":"KNOB","ref_id":"warehouse_size"}]</t>
        </is>
      </c>
      <c r="AX73" s="22" t="inlineStr">
        <is>
          <t>["min_clusters"]</t>
        </is>
      </c>
      <c r="AY73" s="22" t="inlineStr">
        <is>
          <t>[]</t>
        </is>
      </c>
      <c r="AZ73" s="22" t="inlineStr">
        <is>
          <t>[{"execution_state":"PENDING_REEVALUATION","scenario_id":"SCN-B1AE3151CA3DFABC9D6F87A2","scenario_name":"Plan A — Optimize current warehouse type","step":2}]</t>
        </is>
      </c>
      <c r="BA73" s="22" t="inlineStr">
        <is>
          <t>[]</t>
        </is>
      </c>
    </row>
    <row r="74" ht="32" customHeight="1">
      <c r="A74" s="14" t="inlineStr">
        <is>
          <t>PKG-7BBB53D3EBA7FF15A78C71B4</t>
        </is>
      </c>
      <c r="B74" s="14" t="inlineStr">
        <is>
          <t>CAND-924103D11A79912AF1188F2F</t>
        </is>
      </c>
      <c r="C74" s="14" t="inlineStr">
        <is>
          <t>WH-MIN-CLUSTER-ASSESS-001</t>
        </is>
      </c>
      <c r="D74" s="14" t="inlineStr">
        <is>
          <t>2234567890123456</t>
        </is>
      </c>
      <c r="E74" s="14" t="inlineStr">
        <is>
          <t>wh-synth-014</t>
        </is>
      </c>
      <c r="F74" s="15" t="inlineStr">
        <is>
          <t>Ops Dashboards</t>
        </is>
      </c>
      <c r="G74" s="16" t="inlineStr">
        <is>
          <t>operations@databricks.example</t>
        </is>
      </c>
      <c r="H74" s="14" t="inlineStr">
        <is>
          <t>EPOCH-BF33251BF79B5BE8C7BADBFF</t>
        </is>
      </c>
      <c r="I74" s="18" t="inlineStr">
        <is>
          <t>min_clusters</t>
        </is>
      </c>
      <c r="J74" s="18" t="inlineStr">
        <is>
          <t>NO_CHANGE</t>
        </is>
      </c>
      <c r="K74" s="15" t="inlineStr">
        <is>
          <t>COST</t>
        </is>
      </c>
      <c r="L74" s="15" t="n">
        <v>1</v>
      </c>
      <c r="M74" s="15" t="n">
        <v>1</v>
      </c>
      <c r="N74" s="15" t="inlineStr">
        <is>
          <t>Minimum is already 1.</t>
        </is>
      </c>
      <c r="O74" s="21" t="n">
        <v>0.8</v>
      </c>
      <c r="P74" s="18" t="inlineStr">
        <is>
          <t>HIGH</t>
        </is>
      </c>
      <c r="Q74" s="18" t="b">
        <v>1</v>
      </c>
      <c r="R74" s="16" t="inlineStr">
        <is>
          <t>USD</t>
        </is>
      </c>
      <c r="S74" s="18" t="inlineStr">
        <is>
          <t>NO_CHANGE</t>
        </is>
      </c>
      <c r="T74" s="19" t="n">
        <v>26000</v>
      </c>
      <c r="U74" s="19" t="n">
        <v>5338.12</v>
      </c>
      <c r="V74" s="19" t="n">
        <v>31338.12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31338.12</v>
      </c>
      <c r="AG74" s="19" t="n">
        <v>31338.12</v>
      </c>
      <c r="AH74" s="19" t="n">
        <v>31338.12</v>
      </c>
      <c r="AI74" s="18" t="b">
        <v>0</v>
      </c>
      <c r="AJ74" s="18" t="inlineStr">
        <is>
          <t>NOT_APPLIED</t>
        </is>
      </c>
      <c r="AK74" s="16" t="inlineStr">
        <is>
          <t>—</t>
        </is>
      </c>
      <c r="AL74" s="18" t="inlineStr">
        <is>
          <t>—</t>
        </is>
      </c>
      <c r="AM74" s="19" t="inlineStr">
        <is>
          <t>UNAVAILABLE</t>
        </is>
      </c>
      <c r="AN74" s="19" t="inlineStr">
        <is>
          <t>UNAVAILABLE</t>
        </is>
      </c>
      <c r="AO74" s="19" t="inlineStr">
        <is>
          <t>UNAVAILABLE</t>
        </is>
      </c>
      <c r="AP74" s="19" t="inlineStr">
        <is>
          <t>UNAVAILABLE</t>
        </is>
      </c>
      <c r="AQ74" s="18" t="inlineStr">
        <is>
          <t>—</t>
        </is>
      </c>
      <c r="AR74" s="15" t="inlineStr">
        <is>
          <t>time_at_min_pct &gt;= reduction signal 25.0; queued_query_pct_30 &lt;= safe 0.5; p95_wait_capacity_ms_when_queued_30 &lt;= safe 5000; time_at_max_pct &gt;= blocker 20.0</t>
        </is>
      </c>
      <c r="AS74" s="22" t="inlineStr">
        <is>
          <t>{"coverage":1.0,"epoch_maturity":1.0,"sample":1.0,"signal":0.7,"stability":0.91}</t>
        </is>
      </c>
      <c r="AT74" s="22" t="inlineStr">
        <is>
          <t>["EVID-D09849AFFFB193163A0F1547","EVID-987E8FBCED5AD351FFAAAA33","EVID-B272FC69B2AFFDD9F8CAA0ED","EVID-900367C6FD27EF69401875BB","EVID-23B98DC198C1A8170F8F9A99","EVID-075DC68712355A8DD4FE2603","EVID-D3629BE0A19E65713B480452","EVID-7D9BF92BB726FFBAED23FE74","EVID-C531CFB4DE60DA5DFFD90F03"]</t>
        </is>
      </c>
      <c r="AU74" s="22" t="inlineStr">
        <is>
          <t>{"EVID-075DC68712355A8DD4FE2603":{"comparator":"","epoch_scope":"CURRENT","evidence_id":"EVID-075DC68712355A8DD4FE2603","interpretation":"Observed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price","threshold":null,"unit":"USD","value":22880.0},"EVID-23B98DC198C1A8170F8F9A99":{"comparator":"&gt;= blocker","epoch_scope":"CURRENT","evidence_id":"EVID-23B98DC198C1A8170F8F9A99","interpretation":"Sustained scale pressure blocks minimum reduction.","metric":"time_at_max_pct","observation_window":"current epoch","source":"system.compute.warehouse_events","source_field":"cluster_count","threshold":20.0,"unit":"%","value":0.0},"EVID-7D9BF92BB726FFBAED23FE74":{"comparator":"","epoch_scope":"CURRENT","evidence_id":"EVID-7D9BF92BB726FFBAED23FE74","interpretation":"Forward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unavailable.","metric":"forward_aws_cost_365d","observation_window":"forward_365d","source":"derived","source_field":"aws_current_epoch_cost_model","threshold":null,"unit":"USD","value":5338.12},"EVID-900367C6FD27EF69401875BB":{"comparator":"&lt;= safe","epoch_scope":"CURRENT","evidence_id":"EVID-900367C6FD27EF69401875BB","interpretation":"Queue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epoch","source":"system.query.history","source_field":"waiting_at_capacity_duration_ms","threshold":5000,"unit":"ms","value":0},"EVID-987E8FBCED5AD351FFAAAA33":{"comparator":"&gt;= reduction signal","epoch_scope":"CURRENT","evidence_id":"EVID-987E8FBCED5AD351FFAAAA33","interpretation":"How often the warehouse sits at its minimum.","metric":"time_at_min_pct","observation_window":"current epoch","source":"system.compute.warehouse_events","source_field":"cluster_count","threshold":25.0,"unit":"%","value":58.0},"EVID-B272FC69B2AFFDD9F8CAA0ED":{"comparator":"&lt;= safe","epoch_scope":"CURRENT","evidence_id":"EVID-B272FC69B2AFFDD9F8CAA0ED","interpretation":"Queue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epoch","source":"system.query.history","source_field":"waiting_at_capacity_duration_ms","threshold":0.5,"unit":"%","value":0.0},"EVID-C531CFB4DE60DA5DFFD90F03":{"comparator":"","epoch_scope":"CURRENT","evidence_id":"EVID-C531CFB4DE60DA5DFFD90F03","interpretation":"Calendar-day coverage available to the forward cost model.","metric":"cost_history_days","observation_window":"current_epoch","source":"system.billing.usage","source_field":"usage_date","threshold":null,"unit":"days","value":256},"EVID-D09849AFFFB193163A0F1547":{"comparator":"","epoch_scope":"CURRENT","evidence_id":"EVID-D09849AFFFB193163A0F1547","interpretation":"Configured minimum scale.","metric":"min_clusters","observation_window":"current epoch","source":"system.compute.warehouses","source_field":"min_clusters","threshold":null,"unit":"value","value":1},"EVID-D3629BE0A19E65713B480452":{"comparator":"","epoch_scope":"CURRENT","evidence_id":"EVID-D3629BE0A19E65713B480452","interpretation":"No-change forward DBU cost forecast anchored to the current configuration epoch.","metric":"forward_dbu_cost_365d","observation_window":"forward_365d","source":"derived","source_field":"epoch-runrate-v2.7","threshold":null,"unit":"USD","value":26000.0}}</t>
        </is>
      </c>
      <c r="AV74" s="22" t="inlineStr">
        <is>
          <t>[{"comparator":"&gt;= reduction signal","evidence_id":"EVID-987E8FBCED5AD351FFAAAA33","metric":"time_at_min_pct","threshold":25.0},{"comparator":"&lt;= safe","evidence_id":"EVID-B272FC69B2AFFDD9F8CAA0ED","metric":"queued_query_pct_30","threshold":0.5},{"comparator":"&lt;= safe","evidence_id":"EVID-900367C6FD27EF69401875BB","metric":"p95_wait_capacity_ms_when_queued_30","threshold":5000},{"comparator":"&gt;= blocker","evidence_id":"EVID-23B98DC198C1A8170F8F9A99","metric":"time_at_max_pct","threshold":20.0}]</t>
        </is>
      </c>
      <c r="AW74" s="22" t="inlineStr">
        <is>
          <t>[{"condition":null,"dependency_type":"KNOB","ref_id":"warehouse_size"},{"condition":null,"dependency_type":"KNOB","ref_id":"max_clusters"}]</t>
        </is>
      </c>
      <c r="AX74" s="22" t="inlineStr">
        <is>
          <t>[]</t>
        </is>
      </c>
      <c r="AY74" s="22" t="inlineStr">
        <is>
          <t>[]</t>
        </is>
      </c>
      <c r="AZ74" s="22" t="inlineStr">
        <is>
          <t>[]</t>
        </is>
      </c>
      <c r="BA74" s="22" t="inlineStr">
        <is>
          <t>[]</t>
        </is>
      </c>
    </row>
    <row r="75" ht="32" customHeight="1">
      <c r="A75" s="14" t="inlineStr">
        <is>
          <t>PKG-7BBB53D3EBA7FF15A78C71B4</t>
        </is>
      </c>
      <c r="B75" s="14" t="inlineStr">
        <is>
          <t>CAND-30A07501B51A2AE278F7EA92</t>
        </is>
      </c>
      <c r="C75" s="14" t="inlineStr">
        <is>
          <t>WH-AUTOSTOP-ASSESS-001</t>
        </is>
      </c>
      <c r="D75" s="14" t="inlineStr">
        <is>
          <t>2234567890123456</t>
        </is>
      </c>
      <c r="E75" s="14" t="inlineStr">
        <is>
          <t>wh-synth-014</t>
        </is>
      </c>
      <c r="F75" s="15" t="inlineStr">
        <is>
          <t>Ops Dashboards</t>
        </is>
      </c>
      <c r="G75" s="16" t="inlineStr">
        <is>
          <t>operations@databricks.example</t>
        </is>
      </c>
      <c r="H75" s="14" t="inlineStr">
        <is>
          <t>EPOCH-BF33251BF79B5BE8C7BADBFF</t>
        </is>
      </c>
      <c r="I75" s="18" t="inlineStr">
        <is>
          <t>auto_stop_minutes</t>
        </is>
      </c>
      <c r="J75" s="18" t="inlineStr">
        <is>
          <t>NO_CHANGE</t>
        </is>
      </c>
      <c r="K75" s="15" t="inlineStr">
        <is>
          <t>COST</t>
        </is>
      </c>
      <c r="L75" s="15" t="n">
        <v>30</v>
      </c>
      <c r="M75" s="15" t="n">
        <v>30</v>
      </c>
      <c r="N75" s="15" t="inlineStr">
        <is>
          <t>Current auto-stop is already at or below the deterministic target.</t>
        </is>
      </c>
      <c r="O75" s="21" t="n">
        <v>0.8</v>
      </c>
      <c r="P75" s="18" t="inlineStr">
        <is>
          <t>HIGH</t>
        </is>
      </c>
      <c r="Q75" s="18" t="b">
        <v>1</v>
      </c>
      <c r="R75" s="16" t="inlineStr">
        <is>
          <t>USD</t>
        </is>
      </c>
      <c r="S75" s="18" t="inlineStr">
        <is>
          <t>NO_CHANGE</t>
        </is>
      </c>
      <c r="T75" s="19" t="n">
        <v>26000</v>
      </c>
      <c r="U75" s="19" t="n">
        <v>5338.12</v>
      </c>
      <c r="V75" s="19" t="n">
        <v>31338.12</v>
      </c>
      <c r="W75" s="19" t="n">
        <v>0</v>
      </c>
      <c r="X75" s="19" t="n">
        <v>0</v>
      </c>
      <c r="Y75" s="19" t="n">
        <v>0</v>
      </c>
      <c r="Z75" s="19" t="n">
        <v>0</v>
      </c>
      <c r="AA75" s="19" t="n">
        <v>0</v>
      </c>
      <c r="AB75" s="19" t="n">
        <v>0</v>
      </c>
      <c r="AC75" s="19" t="n">
        <v>0</v>
      </c>
      <c r="AD75" s="19" t="n">
        <v>0</v>
      </c>
      <c r="AE75" s="19" t="n">
        <v>0</v>
      </c>
      <c r="AF75" s="19" t="n">
        <v>31338.12</v>
      </c>
      <c r="AG75" s="19" t="n">
        <v>31338.12</v>
      </c>
      <c r="AH75" s="19" t="n">
        <v>31338.12</v>
      </c>
      <c r="AI75" s="18" t="b">
        <v>0</v>
      </c>
      <c r="AJ75" s="18" t="inlineStr">
        <is>
          <t>NOT_APPLIED</t>
        </is>
      </c>
      <c r="AK75" s="16" t="inlineStr">
        <is>
          <t>—</t>
        </is>
      </c>
      <c r="AL75" s="18" t="inlineStr">
        <is>
          <t>—</t>
        </is>
      </c>
      <c r="AM75" s="19" t="inlineStr">
        <is>
          <t>UNAVAILABLE</t>
        </is>
      </c>
      <c r="AN75" s="19" t="inlineStr">
        <is>
          <t>UNAVAILABLE</t>
        </is>
      </c>
      <c r="AO75" s="19" t="inlineStr">
        <is>
          <t>UNAVAILABLE</t>
        </is>
      </c>
      <c r="AP75" s="19" t="inlineStr">
        <is>
          <t>UNAVAILABLE</t>
        </is>
      </c>
      <c r="AQ75" s="18" t="inlineStr">
        <is>
          <t>—</t>
        </is>
      </c>
      <c r="AR75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75" s="22" t="inlineStr">
        <is>
          <t>{"coverage":1.0,"epoch_maturity":1.0,"sample":1.0,"signal":0.7,"stability":0.91}</t>
        </is>
      </c>
      <c r="AT75" s="22" t="inlineStr">
        <is>
          <t>["EVID-4B8B2B525621ED89EA20CBB7","EVID-1ACA7C8B9A9A293BE5CFEE4E","EVID-560228B799DA72762556AD39","EVID-54CEC3840D90DC23AE1DDB39","EVID-4D7719F0DCD578A9F64A53CF","EVID-34338326D5389EC2477F90A1","EVID-5CE253A6ED0C92F5F4B58920","EVID-EC30765FCC5CC089BFE85916","EVID-075DC68712355A8DD4FE2603","EVID-D3629BE0A19E65713B480452","EVID-7D9BF92BB726FFBAED23FE74","EVID-C531CFB4DE60DA5DFFD90F03"]</t>
        </is>
      </c>
      <c r="AU75" s="22" t="inlineStr">
        <is>
          <t>{"EVID-075DC68712355A8DD4FE2603":{"comparator":"","epoch_scope":"CURRENT","evidence_id":"EVID-075DC68712355A8DD4FE2603","interpretation":"Observed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price","threshold":null,"unit":"USD","value":22880.0},"EVID-1ACA7C8B9A9A293BE5CFEE4E":{"comparator":"","epoch_scope":"CURRENT","evidence_id":"EVID-1ACA7C8B9A9A293BE5CFEE4E","interpretation":"Activity density selects the auto-stop target.","metric":"queries_per_active_day_30","observation_window":"last 30 days within current epoch","source":"system.query.history","source_field":"start_time","threshold":null,"unit":"queries/day","value":433.33},"EVID-34338326D5389EC2477F90A1":{"comparator":"&gt;= cold-start blocker","epoch_scope":"CURRENT","evidence_id":"EVID-34338326D5389EC2477F90A1","interpretation":"Cold-start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epoch","source":"system.query.history","source_field":"waiting_for_compute_duration_ms","threshold":60000,"unit":"ms","value":3500},"EVID-4B8B2B525621ED89EA20CBB7":{"comparator":"&gt; target","epoch_scope":"CURRENT","evidence_id":"EVID-4B8B2B525621ED89EA20CBB7","interpretation":"Current idle termination setting versus deterministic policy target.","metric":"auto_stop_minutes","observation_window":"current epoch","source":"system.compute.warehouses","source_field":"auto_stop_minutes","threshold":30,"unit":"minutes","value":30},"EVID-4D7719F0DCD578A9F64A53CF":{"comparator":"","epoch_scope":"CURRENT","evidence_id":"EVID-4D7719F0DCD578A9F64A53CF","interpretation":"Queries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epoch","source":"system.query.history","source_field":"waiting_for_compute_duration_ms","threshold":null,"unit":"queries","value":6},"EVID-54CEC3840D90DC23AE1DDB39":{"comparator":"&gt;= evidence minimum","epoch_scope":"CURRENT","evidence_id":"EVID-54CEC3840D90DC23AE1DDB39","interpretation":"Observed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epoch","source":"system.compute.warehouse_events","source_field":"cluster_count/event_time","threshold":1.0,"unit":"cluster-minutes","value":30000.0},"EVID-560228B799DA72762556AD39":{"comparator":"&gt;= evidence minimum","epoch_scope":"CURRENT","evidence_id":"EVID-560228B799DA72762556AD39","interpretation":"Non-overlapping inter-query gap sample supporting the auto-stop counterfactual.","metric":"idle_gap_count","observation_window":"current epoch","source":"system.query.history","source_field":"start_time/end_time","threshold":30,"unit":"gaps","value":520},"EVID-5CE253A6ED0C92F5F4B58920":{"comparator":"&gt;= cold-start blocker","epoch_scope":"CURRENT","evidence_id":"EVID-5CE253A6ED0C92F5F4B58920","interpretation":"Restart frequency guardrail.","metric":"starts_per_active_day_30","observation_window":"last 30 days within current epoch","source":"system.compute.warehouse_events","source_field":"event_type=STARTING","threshold":0.5,"unit":"starts/day","value":0.2},"EVID-7D9BF92BB726FFBAED23FE74":{"comparator":"","epoch_scope":"CURRENT","evidence_id":"EVID-7D9BF92BB726FFBAED23FE74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5338.12},"EVID-C531CFB4DE60DA5DFFD90F03":{"comparator":"","epoch_scope":"CURRENT","evidence_id":"EVID-C531CFB4DE60DA5DFFD90F03","interpretation":"Calendar-day coverage available to the forward cost model.","metric":"cost_history_days","observation_window":"current_epoch","source":"system.billing.usage","source_field":"usage_date","threshold":null,"unit":"days","value":256},"EVID-D3629BE0A19E65713B480452":{"comparator":"","epoch_scope":"CURRENT","evidence_id":"EVID-D3629BE0A19E65713B480452","interpretation":"No-change forward DBU cost forecast anchored to the current configuration epoch.","metric":"forward_dbu_cost_365d","observation_window":"forward_365d","source":"derived","source_field":"epoch-runrate-v2.7","threshold":null,"unit":"USD","value":26000.0},"EVID-EC30765FCC5CC089BFE85916":{"comparator":"","epoch_scope":"CURRENT","evidence_id":"EVID-EC30765FCC5CC089BFE85916","interpretation":"Estimated additional off-time at the candidate target.","metric":"estimated_additional_off_minutes","observation_window":"current epoch","source":"system.query.history","source_field":"inter-query gap","threshold":null,"unit":"minutes","value":1728.0}}</t>
        </is>
      </c>
      <c r="AV75" s="22" t="inlineStr">
        <is>
          <t>[{"comparator":"&gt; target","evidence_id":"EVID-4B8B2B525621ED89EA20CBB7","metric":"auto_stop_minutes","threshold":30},{"comparator":"&gt;= evidence minimum","evidence_id":"EVID-560228B799DA72762556AD39","metric":"idle_gap_count","threshold":30},{"comparator":"&gt;= evidence minimum","evidence_id":"EVID-54CEC3840D90DC23AE1DDB39","metric":"cluster_minutes","threshold":1.0},{"comparator":"&gt;= cold-start blocker","evidence_id":"EVID-34338326D5389EC2477F90A1","metric":"p95_wait_compute_ms_when_waited_30","threshold":60000},{"comparator":"&gt;= cold-start blocker","evidence_id":"EVID-5CE253A6ED0C92F5F4B58920","metric":"starts_per_active_day_30","threshold":0.5}]</t>
        </is>
      </c>
      <c r="AW75" s="22" t="inlineStr">
        <is>
          <t>[{"condition":null,"dependency_type":"KNOB","ref_id":"min_clusters"}]</t>
        </is>
      </c>
      <c r="AX75" s="22" t="inlineStr">
        <is>
          <t>[]</t>
        </is>
      </c>
      <c r="AY75" s="22" t="inlineStr">
        <is>
          <t>[]</t>
        </is>
      </c>
      <c r="AZ75" s="22" t="inlineStr">
        <is>
          <t>[]</t>
        </is>
      </c>
      <c r="BA75" s="22" t="inlineStr">
        <is>
          <t>[]</t>
        </is>
      </c>
    </row>
    <row r="76" ht="32" customHeight="1">
      <c r="A76" s="14" t="inlineStr">
        <is>
          <t>PKG-7BBB53D3EBA7FF15A78C71B4</t>
        </is>
      </c>
      <c r="B76" s="14" t="inlineStr">
        <is>
          <t>CAND-AD58D34434A2170D1BF1A9B1</t>
        </is>
      </c>
      <c r="C76" s="14" t="inlineStr">
        <is>
          <t>WH-SERVERLESS-MIGRATE-001</t>
        </is>
      </c>
      <c r="D76" s="14" t="inlineStr">
        <is>
          <t>2234567890123456</t>
        </is>
      </c>
      <c r="E76" s="14" t="inlineStr">
        <is>
          <t>wh-synth-014</t>
        </is>
      </c>
      <c r="F76" s="15" t="inlineStr">
        <is>
          <t>Ops Dashboards</t>
        </is>
      </c>
      <c r="G76" s="16" t="inlineStr">
        <is>
          <t>operations@databricks.example</t>
        </is>
      </c>
      <c r="H76" s="14" t="inlineStr">
        <is>
          <t>EPOCH-BF33251BF79B5BE8C7BADBFF</t>
        </is>
      </c>
      <c r="I76" s="18" t="inlineStr">
        <is>
          <t>warehouse_type</t>
        </is>
      </c>
      <c r="J76" s="18" t="inlineStr">
        <is>
          <t>TEST_REQUIRED</t>
        </is>
      </c>
      <c r="K76" s="15" t="inlineStr">
        <is>
          <t>MIGRATION, COST_AND_PERFORMANCE, OPERATIONS</t>
        </is>
      </c>
      <c r="L76" s="15" t="inlineStr">
        <is>
          <t>PRO</t>
        </is>
      </c>
      <c r="M76" s="15" t="inlineStr">
        <is>
          <t>SERVERLESS</t>
        </is>
      </c>
      <c r="N76" s="15" t="inlineStr">
        <is>
          <t>Serverless is evaluated as a separate migration experiment with a pre-canary DBU/AWS counterfactual and deterministic compatibility gate.</t>
        </is>
      </c>
      <c r="O76" s="21" t="n">
        <v>0.78</v>
      </c>
      <c r="P76" s="18" t="inlineStr">
        <is>
          <t>MEDIUM</t>
        </is>
      </c>
      <c r="Q76" s="18" t="b">
        <v>1</v>
      </c>
      <c r="R76" s="16" t="inlineStr">
        <is>
          <t>USD</t>
        </is>
      </c>
      <c r="S76" s="18" t="inlineStr">
        <is>
          <t>SAVINGS</t>
        </is>
      </c>
      <c r="T76" s="19" t="n">
        <v>26000</v>
      </c>
      <c r="U76" s="19" t="n">
        <v>5338.12</v>
      </c>
      <c r="V76" s="19" t="n">
        <v>31338.12</v>
      </c>
      <c r="W76" s="19" t="n">
        <v>10031.25</v>
      </c>
      <c r="X76" s="19" t="n">
        <v>14023.44</v>
      </c>
      <c r="Y76" s="19" t="n">
        <v>18015.63</v>
      </c>
      <c r="Z76" s="19" t="n">
        <v>5338.12</v>
      </c>
      <c r="AA76" s="19" t="n">
        <v>5338.12</v>
      </c>
      <c r="AB76" s="19" t="n">
        <v>5338.12</v>
      </c>
      <c r="AC76" s="19" t="n">
        <v>15369.37</v>
      </c>
      <c r="AD76" s="19" t="n">
        <v>19361.56</v>
      </c>
      <c r="AE76" s="19" t="n">
        <v>23353.75</v>
      </c>
      <c r="AF76" s="19" t="n">
        <v>7984.37</v>
      </c>
      <c r="AG76" s="19" t="n">
        <v>11976.56</v>
      </c>
      <c r="AH76" s="19" t="n">
        <v>15968.75</v>
      </c>
      <c r="AI76" s="18" t="b">
        <v>0</v>
      </c>
      <c r="AJ76" s="18" t="inlineStr">
        <is>
          <t>NOT_APPLIED</t>
        </is>
      </c>
      <c r="AK76" s="16" t="inlineStr">
        <is>
          <t>—</t>
        </is>
      </c>
      <c r="AL76" s="18" t="inlineStr">
        <is>
          <t>—</t>
        </is>
      </c>
      <c r="AM76" s="19" t="inlineStr">
        <is>
          <t>UNAVAILABLE</t>
        </is>
      </c>
      <c r="AN76" s="19" t="inlineStr">
        <is>
          <t>UNAVAILABLE</t>
        </is>
      </c>
      <c r="AO76" s="19" t="inlineStr">
        <is>
          <t>UNAVAILABLE</t>
        </is>
      </c>
      <c r="AP76" s="19" t="inlineStr">
        <is>
          <t>UNAVAILABLE</t>
        </is>
      </c>
      <c r="AQ76" s="18" t="inlineStr">
        <is>
          <t>—</t>
        </is>
      </c>
      <c r="AR76" s="15" t="inlineStr">
        <is>
          <t>No numeric threshold</t>
        </is>
      </c>
      <c r="AS76" s="22" t="inlineStr">
        <is>
          <t>{"coverage":1.0,"epoch_maturity":1.0,"sample":1.0,"signal":1.0,"stability":0.91}</t>
        </is>
      </c>
      <c r="AT76" s="22" t="inlineStr">
        <is>
          <t>["EVID-20B74C71235026CB1006D75D","EVID-9A48289F39C4CBF84AFA056D","EVID-7470F3D044066BB776AA7526","EVID-9C01DEB2842095BB47EE5CDE","EVID-52F379B326B48A163DAD8F0B","EVID-5410112DFBC342DF891DBF46","EVID-818918115DFD85F2025E4AB5","EVID-BDE0805A170B0A4C92D6B573","EVID-A0EDCF34958103470FFB3138","EVID-AEAB494D17C5B4B7C451733A","EVID-8446876BD86846BC5B4A09B1","EVID-22BEC328AA4A66999655C284","EVID-DAD23F3F252736320B90B610","EVID-075DC68712355A8DD4FE2603","EVID-D3629BE0A19E65713B480452","EVID-7D9BF92BB726FFBAED23FE74","EVID-C531CFB4DE60DA5DFFD90F03"]</t>
        </is>
      </c>
      <c r="AU76" s="22" t="inlineStr">
        <is>
          <t>{"EVID-075DC68712355A8DD4FE2603":{"comparator":"","epoch_scope":"CURRENT","evidence_id":"EVID-075DC68712355A8DD4FE2603","interpretation":"Observed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price","threshold":null,"unit":"USD","value":22880.0},"EVID-20B74C71235026CB1006D75D":{"comparator":"","epoch_scope":"CURRENT","evidence_id":"EVID-20B74C71235026CB1006D75D","interpretation":"Current warehouse type.","metric":"warehouse_type","observation_window":"current epoch","source":"system.compute.warehouses","source_field":"warehouse_type","threshold":null,"unit":"value","value":"PRO"},"EVID-22BEC328AA4A66999655C284":{"comparator":"","epoch_scope":"CURRENT","evidence_id":"EVID-22BEC328AA4A66999655C284","interpretation":"Coverage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epoch","source":"system.query.history","source_field":"statement_text","threshold":null,"unit":"%","value":100.0},"EVID-52F379B326B48A163DAD8F0B":{"comparator":"","epoch_scope":"CURRENT","evidence_id":"EVID-52F379B326B48A163DAD8F0B","interpretation":"Job workload mix context.","metric":"job_queries_30","observation_window":"last 30 days within current epoch","source":"system.query.history","source_field":"query_source.job_info.job_id","threshold":null,"unit":"queries","value":0},"EVID-5410112DFBC342DF891DBF46":{"comparator":"","epoch_scope":"CURRENT","evidence_id":"EVID-5410112DFBC342DF891DBF46","interpretation":"Notebook workload mix context.","metric":"notebook_queries_30","observation_window":"last 30 days within current epoch","source":"system.query.history","source_field":"query_source.notebook_id","threshold":null,"unit":"queries","value":0},"EVID-7470F3D044066BB776AA7526":{"comparator":"","epoch_scope":"CURRENT","evidence_id":"EVID-7470F3D044066BB776AA7526","interpretation":"Query-tag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epoch","source":"system.query.history","source_field":"query_tags","threshold":null,"unit":"%","value":70.0},"EVID-7D9BF92BB726FFBAED23FE74":{"comparator":"","epoch_scope":"CURRENT","evidence_id":"EVID-7D9BF92BB726FFBAED23FE74","interpretation":"Forward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5338.12},"EVID-818918115DFD85F2025E4AB5":{"comparator":"","epoch_scope":"CURRENT","evidence_id":"EVID-818918115DFD85F2025E4AB5","interpretation":"Genie workload mix context.","metric":"genie_queries_30","observation_window":"last 30 days within current epoch","source":"system.query.history","source_field":"query_source.genie_space_id","threshold":null,"unit":"queries","value":0},"EVID-8446876BD86846BC5B4A09B1":{"comparator":"","epoch_scope":"CURRENT","evidence_id":"EVID-8446876BD86846BC5B4A09B1","interpretation":"Tableau client workload mix context.","metric":"tableau_queries_30","observation_window":"last 30 days within current epoch","source":"system.query.history","source_field":"client_application","threshold":null,"unit":"queries","value":0},"EVID-9A48289F39C4CBF84AFA056D":{"comparator":"","epoch_scope":"CURRENT","evidence_id":"EVID-9A48289F39C4CBF84AFA056D","interpretation":"Observed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days","source":"system.billing.usage","source_field":"product_features.is_serverless","threshold":null,"unit":"%","value":0.0},"EVID-9C01DEB2842095BB47EE5CDE":{"comparator":"","epoch_scope":"CURRENT","evidence_id":"EVID-9C01DEB2842095BB47EE5CDE","interpretation":"Dashboard workload mix context.","metric":"dashboard_queries_30","observation_window":"last 30 days within current epoch","source":"system.query.history","source_field":"query_source.dashboard_id","threshold":null,"unit":"queries","value":9750},"EVID-A0EDCF34958103470FFB3138":{"comparator":"","epoch_scope":"CURRENT","evidence_id":"EVID-A0EDCF34958103470FFB3138","interpretation":"Databricks SQL editor/query workload mix context.","metric":"sql_editor_queries_30","observation_window":"last 30 days within current epoch","source":"system.query.history","source_field":"query_source.sql_query_id","threshold":null,"unit":"queries","value":1040},"EVID-AEAB494D17C5B4B7C451733A":{"comparator":"","epoch_scope":"CURRENT","evidence_id":"EVID-AEAB494D17C5B4B7C451733A","interpretation":"Power BI client workload mix context.","metric":"power_bi_queries_30","observation_window":"last 30 days within current epoch","source":"system.query.history","source_field":"client_application","threshold":null,"unit":"queries","value":3250},"EVID-BDE0805A170B0A4C92D6B573":{"comparator":"","epoch_scope":"CURRENT","evidence_id":"EVID-BDE0805A170B0A4C92D6B573","interpretation":"Alert workload mix context.","metric":"alert_queries_30","observation_window":"last 30 days within current epoch","source":"system.query.history","source_field":"query_source.alert_id","threshold":null,"unit":"queries","value":0},"EVID-C531CFB4DE60DA5DFFD90F03":{"comparator":"","epoch_scope":"CURRENT","evidence_id":"EVID-C531CFB4DE60DA5DFFD90F03","interpretation":"Calendar-day coverage available to the forward cost model.","metric":"cost_history_days","observation_window":"current_epoch","source":"system.billing.usage","source_field":"usage_date","threshold":null,"unit":"days","value":256},"EVID-D3629BE0A19E65713B480452":{"comparator":"","epoch_scope":"CURRENT","evidence_id":"EVID-D3629BE0A19E65713B480452","interpretation":"No-change forward DBU cost forecast anchored to the current configuration epoch.","metric":"forward_dbu_cost_365d","observation_window":"forward_365d","source":"derived","source_field":"epoch-runrate-v2.7","threshold":null,"unit":"USD","value":26000.0},"EVID-DAD23F3F252736320B90B610":{"comparator":"","epoch_scope":"CURRENT","evidence_id":"EVID-DAD23F3F252736320B90B610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only)","threshold":null,"unit":"queries","value":0}}</t>
        </is>
      </c>
      <c r="AV76" s="22" t="inlineStr">
        <is>
          <t>[]</t>
        </is>
      </c>
      <c r="AW76" s="22" t="inlineStr">
        <is>
          <t>[]</t>
        </is>
      </c>
      <c r="AX76" s="22" t="inlineStr">
        <is>
          <t>["warehouse_size","max_clusters","min_clusters","auto_stop_minutes"]</t>
        </is>
      </c>
      <c r="AY76" s="22" t="inlineStr">
        <is>
          <t>["A_B_COST_PERFORMANCE_VALIDATION_REQUIRED","SERVERLESS_WORKSPACE_CAPABILITY_NOT_CONFIRMED_FROM_SYSTEM_TABLES"]</t>
        </is>
      </c>
      <c r="AZ76" s="22" t="inlineStr">
        <is>
          <t>[{"execution_state":"READY_FOR_CANARY","scenario_id":"SCN-7AA042130907C622B3D829D7","scenario_name":"Plan B — Serverless migration experiment","step":2}]</t>
        </is>
      </c>
      <c r="BA76" s="22" t="inlineStr">
        <is>
          <t>[]</t>
        </is>
      </c>
    </row>
    <row r="77" ht="32" customHeight="1">
      <c r="A77" s="14" t="inlineStr">
        <is>
          <t>PKG-64D236F637ADCD1FA2350E7B</t>
        </is>
      </c>
      <c r="B77" s="14" t="inlineStr">
        <is>
          <t>CAND-36E93BF7B8CE7895B3350359</t>
        </is>
      </c>
      <c r="C77" s="14" t="inlineStr">
        <is>
          <t>WH-CHANNEL-CURRENT-001</t>
        </is>
      </c>
      <c r="D77" s="14" t="inlineStr">
        <is>
          <t>2234567890123456</t>
        </is>
      </c>
      <c r="E77" s="14" t="inlineStr">
        <is>
          <t>wh-synth-009</t>
        </is>
      </c>
      <c r="F77" s="15" t="inlineStr">
        <is>
          <t>Photon Migration Lab</t>
        </is>
      </c>
      <c r="G77" s="16" t="inlineStr">
        <is>
          <t>platform-lab@databricks.example</t>
        </is>
      </c>
      <c r="H77" s="14" t="inlineStr">
        <is>
          <t>EPOCH-854E1F09C274063DAE4EDC19</t>
        </is>
      </c>
      <c r="I77" s="18" t="inlineStr">
        <is>
          <t>warehouse_channel</t>
        </is>
      </c>
      <c r="J77" s="18" t="inlineStr">
        <is>
          <t>NO_CHANGE</t>
        </is>
      </c>
      <c r="K77" s="15" t="inlineStr">
        <is>
          <t>STABILITY</t>
        </is>
      </c>
      <c r="L77" s="15" t="inlineStr">
        <is>
          <t>CURRENT</t>
        </is>
      </c>
      <c r="M77" s="15" t="inlineStr">
        <is>
          <t>CURRENT</t>
        </is>
      </c>
      <c r="N77" s="15" t="inlineStr">
        <is>
          <t>No channel change indicated.</t>
        </is>
      </c>
      <c r="O77" s="21" t="n">
        <v>0.8</v>
      </c>
      <c r="P77" s="18" t="inlineStr">
        <is>
          <t>HIGH</t>
        </is>
      </c>
      <c r="Q77" s="18" t="b">
        <v>1</v>
      </c>
      <c r="R77" s="16" t="inlineStr">
        <is>
          <t>USD</t>
        </is>
      </c>
      <c r="S77" s="18" t="inlineStr">
        <is>
          <t>NO_CHANGE</t>
        </is>
      </c>
      <c r="T77" s="19" t="n">
        <v>21000</v>
      </c>
      <c r="U77" s="19" t="n">
        <v>2932.53</v>
      </c>
      <c r="V77" s="19" t="n">
        <v>23932.53</v>
      </c>
      <c r="W77" s="19" t="n">
        <v>0</v>
      </c>
      <c r="X77" s="19" t="n">
        <v>0</v>
      </c>
      <c r="Y77" s="19" t="n">
        <v>0</v>
      </c>
      <c r="Z77" s="19" t="n">
        <v>0</v>
      </c>
      <c r="AA77" s="19" t="n">
        <v>0</v>
      </c>
      <c r="AB77" s="19" t="n">
        <v>0</v>
      </c>
      <c r="AC77" s="19" t="n">
        <v>0</v>
      </c>
      <c r="AD77" s="19" t="n">
        <v>0</v>
      </c>
      <c r="AE77" s="19" t="n">
        <v>0</v>
      </c>
      <c r="AF77" s="19" t="n">
        <v>23932.53</v>
      </c>
      <c r="AG77" s="19" t="n">
        <v>23932.53</v>
      </c>
      <c r="AH77" s="19" t="n">
        <v>23932.53</v>
      </c>
      <c r="AI77" s="18" t="b">
        <v>0</v>
      </c>
      <c r="AJ77" s="18" t="inlineStr">
        <is>
          <t>NOT_APPLIED</t>
        </is>
      </c>
      <c r="AK77" s="16" t="inlineStr">
        <is>
          <t>—</t>
        </is>
      </c>
      <c r="AL77" s="18" t="inlineStr">
        <is>
          <t>—</t>
        </is>
      </c>
      <c r="AM77" s="19" t="inlineStr">
        <is>
          <t>UNAVAILABLE</t>
        </is>
      </c>
      <c r="AN77" s="19" t="inlineStr">
        <is>
          <t>UNAVAILABLE</t>
        </is>
      </c>
      <c r="AO77" s="19" t="inlineStr">
        <is>
          <t>UNAVAILABLE</t>
        </is>
      </c>
      <c r="AP77" s="19" t="inlineStr">
        <is>
          <t>UNAVAILABLE</t>
        </is>
      </c>
      <c r="AQ77" s="18" t="inlineStr">
        <is>
          <t>—</t>
        </is>
      </c>
      <c r="AR77" s="15" t="inlineStr">
        <is>
          <t>No numeric threshold</t>
        </is>
      </c>
      <c r="AS77" s="22" t="inlineStr">
        <is>
          <t>{"coverage":1.0,"epoch_maturity":1.0,"sample":1.0,"signal":0.7,"stability":0.91}</t>
        </is>
      </c>
      <c r="AT77" s="22" t="inlineStr">
        <is>
          <t>["EVID-44A8E6640DAD4631893F4EB9","EVID-07174CC5836579556EAE3FBA","EVID-43A9D4AA27211AD241140DA8","EVID-5F049D088166930E912ED0CA","EVID-814B842EA1F2BD7336C2E67C"]</t>
        </is>
      </c>
      <c r="AU77" s="22" t="inlineStr">
        <is>
          <t>{"EVID-07174CC5836579556EAE3FBA":{"comparator":"","epoch_scope":"CURRENT","evidence_id":"EVID-07174CC5836579556EAE3FBA","interpretation":"Observed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price","threshold":null,"unit":"USD","value":18480.0},"EVID-43A9D4AA27211AD241140DA8":{"comparator":"","epoch_scope":"CURRENT","evidence_id":"EVID-43A9D4AA27211AD241140DA8","interpretation":"No-change forward DBU cost forecast anchored to the current configuration epoch.","metric":"forward_dbu_cost_365d","observation_window":"forward_365d","source":"derived","source_field":"epoch-runrate-v2.7","threshold":null,"unit":"USD","value":21000.0},"EVID-44A8E6640DAD4631893F4EB9":{"comparator":"","epoch_scope":"CURRENT","evidence_id":"EVID-44A8E6640DAD4631893F4EB9","interpretation":"Current release channel from the current configuration epoch.","metric":"warehouse_channel","observation_window":"current epoch","source":"system.compute.warehouses","source_field":"warehouse_channel","threshold":null,"unit":"value","value":"CURRENT"},"EVID-5F049D088166930E912ED0CA":{"comparator":"","epoch_scope":"CURRENT","evidence_id":"EVID-5F049D088166930E912ED0CA","interpretation":"Forward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2932.53},"EVID-814B842EA1F2BD7336C2E67C":{"comparator":"","epoch_scope":"CURRENT","evidence_id":"EVID-814B842EA1F2BD7336C2E67C","interpretation":"Calendar-day coverage available to the forward cost model.","metric":"cost_history_days","observation_window":"current_epoch","source":"system.billing.usage","source_field":"usage_date","threshold":null,"unit":"days","value":233}}</t>
        </is>
      </c>
      <c r="AV77" s="22" t="inlineStr">
        <is>
          <t>[]</t>
        </is>
      </c>
      <c r="AW77" s="22" t="inlineStr">
        <is>
          <t>[]</t>
        </is>
      </c>
      <c r="AX77" s="22" t="inlineStr">
        <is>
          <t>[]</t>
        </is>
      </c>
      <c r="AY77" s="22" t="inlineStr">
        <is>
          <t>[]</t>
        </is>
      </c>
      <c r="AZ77" s="22" t="inlineStr">
        <is>
          <t>[]</t>
        </is>
      </c>
      <c r="BA77" s="22" t="inlineStr">
        <is>
          <t>[]</t>
        </is>
      </c>
    </row>
    <row r="78" ht="32" customHeight="1">
      <c r="A78" s="14" t="inlineStr">
        <is>
          <t>PKG-64D236F637ADCD1FA2350E7B</t>
        </is>
      </c>
      <c r="B78" s="14" t="inlineStr">
        <is>
          <t>CAND-4D7163BFB57F1D099F93FBB4</t>
        </is>
      </c>
      <c r="C78" s="14" t="inlineStr">
        <is>
          <t>WH-SIZE-DOWNSIZE-001</t>
        </is>
      </c>
      <c r="D78" s="14" t="inlineStr">
        <is>
          <t>2234567890123456</t>
        </is>
      </c>
      <c r="E78" s="14" t="inlineStr">
        <is>
          <t>wh-synth-009</t>
        </is>
      </c>
      <c r="F78" s="15" t="inlineStr">
        <is>
          <t>Photon Migration Lab</t>
        </is>
      </c>
      <c r="G78" s="16" t="inlineStr">
        <is>
          <t>platform-lab@databricks.example</t>
        </is>
      </c>
      <c r="H78" s="14" t="inlineStr">
        <is>
          <t>EPOCH-854E1F09C274063DAE4EDC19</t>
        </is>
      </c>
      <c r="I78" s="18" t="inlineStr">
        <is>
          <t>warehouse_size</t>
        </is>
      </c>
      <c r="J78" s="18" t="inlineStr">
        <is>
          <t>TEST_REQUIRED</t>
        </is>
      </c>
      <c r="K78" s="15" t="inlineStr">
        <is>
          <t>COST</t>
        </is>
      </c>
      <c r="L78" s="15" t="inlineStr">
        <is>
          <t>SMALL</t>
        </is>
      </c>
      <c r="M78" s="15" t="inlineStr">
        <is>
          <t>X_SMALL</t>
        </is>
      </c>
      <c r="N78" s="15" t="inlineStr">
        <is>
          <t>Low spill, queueing, and latency make one-size down a controlled canary candidate; absence of pressure is not proof of SLA safety.</t>
        </is>
      </c>
      <c r="O78" s="21" t="n">
        <v>0.78</v>
      </c>
      <c r="P78" s="18" t="inlineStr">
        <is>
          <t>MEDIUM</t>
        </is>
      </c>
      <c r="Q78" s="18" t="b">
        <v>1</v>
      </c>
      <c r="R78" s="16" t="inlineStr">
        <is>
          <t>USD</t>
        </is>
      </c>
      <c r="S78" s="18" t="inlineStr">
        <is>
          <t>SAVINGS</t>
        </is>
      </c>
      <c r="T78" s="19" t="n">
        <v>21000</v>
      </c>
      <c r="U78" s="19" t="n">
        <v>2932.53</v>
      </c>
      <c r="V78" s="19" t="n">
        <v>23932.53</v>
      </c>
      <c r="W78" s="19" t="n">
        <v>4725</v>
      </c>
      <c r="X78" s="19" t="n">
        <v>7350</v>
      </c>
      <c r="Y78" s="19" t="n">
        <v>9450</v>
      </c>
      <c r="Z78" s="19" t="n">
        <v>659.8200000000001</v>
      </c>
      <c r="AA78" s="19" t="n">
        <v>1026.39</v>
      </c>
      <c r="AB78" s="19" t="n">
        <v>1319.64</v>
      </c>
      <c r="AC78" s="19" t="n">
        <v>5384.82</v>
      </c>
      <c r="AD78" s="19" t="n">
        <v>8376.389999999999</v>
      </c>
      <c r="AE78" s="19" t="n">
        <v>10769.64</v>
      </c>
      <c r="AF78" s="19" t="n">
        <v>13162.89</v>
      </c>
      <c r="AG78" s="19" t="n">
        <v>15556.14</v>
      </c>
      <c r="AH78" s="19" t="n">
        <v>18547.71</v>
      </c>
      <c r="AI78" s="18" t="b">
        <v>0</v>
      </c>
      <c r="AJ78" s="18" t="inlineStr">
        <is>
          <t>NOT_APPLIED</t>
        </is>
      </c>
      <c r="AK78" s="16" t="inlineStr">
        <is>
          <t>—</t>
        </is>
      </c>
      <c r="AL78" s="18" t="inlineStr">
        <is>
          <t>—</t>
        </is>
      </c>
      <c r="AM78" s="19" t="inlineStr">
        <is>
          <t>UNAVAILABLE</t>
        </is>
      </c>
      <c r="AN78" s="19" t="inlineStr">
        <is>
          <t>UNAVAILABLE</t>
        </is>
      </c>
      <c r="AO78" s="19" t="inlineStr">
        <is>
          <t>UNAVAILABLE</t>
        </is>
      </c>
      <c r="AP78" s="19" t="inlineStr">
        <is>
          <t>UNAVAILABLE</t>
        </is>
      </c>
      <c r="AQ78" s="18" t="inlineStr">
        <is>
          <t>—</t>
        </is>
      </c>
      <c r="AR78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78" s="22" t="inlineStr">
        <is>
          <t>{"coverage":1.0,"epoch_maturity":1.0,"sample":1.0,"signal":1.0,"stability":0.91}</t>
        </is>
      </c>
      <c r="AT78" s="22" t="inlineStr">
        <is>
          <t>["EVID-DCDF95C6A1F733063FB0FF40","EVID-473DAE924D0494843A151322","EVID-2E961C8C26A8DD4D880DC0C3","EVID-9B5F3B007AF6B0C87B636B00","EVID-25C1DA18EEB5F16EA1C37494","EVID-39C9D8D68FDB2B48EC1F8E06","EVID-E0A9E6F5CF1C6CC89EF49539","EVID-4FF74009A0DFB40815A0A413","EVID-07174CC5836579556EAE3FBA","EVID-43A9D4AA27211AD241140DA8","EVID-5F049D088166930E912ED0CA","EVID-814B842EA1F2BD7336C2E67C"]</t>
        </is>
      </c>
      <c r="AU78" s="22" t="inlineStr">
        <is>
          <t>{"EVID-07174CC5836579556EAE3FBA":{"comparator":"","epoch_scope":"CURRENT","evidence_id":"EVID-07174CC5836579556EAE3FBA","interpretation":"Observed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price","threshold":null,"unit":"USD","value":18480.0},"EVID-25C1DA18EEB5F16EA1C37494":{"comparator":"&lt;= downsize-safe","epoch_scope":"CURRENT","evidence_id":"EVID-25C1DA18EEB5F16EA1C37494","interpretation":"Concurrency pressure during the decision window.","metric":"queued_query_pct_30","observation_window":"last 30 days within current epoch","source":"system.query.history","source_field":"waiting_at_capacity_duration_ms","threshold":0.5,"unit":"%","value":0.1},"EVID-2E961C8C26A8DD4D880DC0C3":{"comparator":"&gt;= evidence minimum for upsize","epoch_scope":"CURRENT","evidence_id":"EVID-2E961C8C26A8DD4D880DC0C3","interpretation":"Queries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epoch","source":"system.query.history","source_field":"spilled_local_bytes","threshold":20,"unit":"queries","value":0},"EVID-39C9D8D68FDB2B48EC1F8E06":{"comparator":"&lt;= downsize-safe","epoch_scope":"CURRENT","evidence_id":"EVID-39C9D8D68FDB2B48EC1F8E06","interpretation":"Tail execution latency guardrail.","metric":"p95_execution_ms_30","observation_window":"last 30 days within current epoch","source":"system.query.history","source_field":"execution_duration_ms","threshold":5000,"unit":"ms","value":4200},"EVID-43A9D4AA27211AD241140DA8":{"comparator":"","epoch_scope":"CURRENT","evidence_id":"EVID-43A9D4AA27211AD241140DA8","interpretation":"No-change forward DBU cost forecast anchored to the current configuration epoch.","metric":"forward_dbu_cost_365d","observation_window":"forward_365d","source":"derived","source_field":"epoch-runrate-v2.7","threshold":null,"unit":"USD","value":21000.0},"EVID-473DAE924D0494843A151322":{"comparator":"&gt;= upsize signal","epoch_scope":"CURRENT","evidence_id":"EVID-473DAE924D0494843A151322","interpretation":"Frequency of queries spilling to local storage.","metric":"spill_query_pct_30","observation_window":"last 30 days within current epoch","source":"system.query.history","source_field":"spilled_local_bytes","threshold":2.0,"unit":"%","value":0.0},"EVID-4FF74009A0DFB40815A0A413":{"comparator":"","epoch_scope":"CURRENT","evidence_id":"EVID-4FF74009A0DFB40815A0A413","interpretation":"I/O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epoch","source":"system.query.history","source_field":"read_io_cache_percent","threshold":null,"unit":"%","value":35.0},"EVID-5F049D088166930E912ED0CA":{"comparator":"","epoch_scope":"CURRENT","evidence_id":"EVID-5F049D088166930E912ED0CA","interpretation":"Forward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2932.53},"EVID-814B842EA1F2BD7336C2E67C":{"comparator":"","epoch_scope":"CURRENT","evidence_id":"EVID-814B842EA1F2BD7336C2E67C","interpretation":"Calendar-day coverage available to the forward cost model.","metric":"cost_history_days","observation_window":"current_epoch","source":"system.billing.usage","source_field":"usage_date","threshold":null,"unit":"days","value":233},"EVID-9B5F3B007AF6B0C87B636B00":{"comparator":"&gt;= upsize signal","epoch_scope":"CURRENT","evidence_id":"EVID-9B5F3B007AF6B0C87B636B00","interpretation":"Severity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epoch","source":"system.query.history","source_field":"spilled_local_bytes","threshold":1073741824,"unit":"bytes","value":0},"EVID-DCDF95C6A1F733063FB0FF40":{"comparator":"","epoch_scope":"CURRENT","evidence_id":"EVID-DCDF95C6A1F733063FB0FF40","interpretation":"Current warehouse size.","metric":"warehouse_size","observation_window":"current epoch","source":"system.compute.warehouses","source_field":"warehouse_size","threshold":null,"unit":"value","value":"SMALL"},"EVID-E0A9E6F5CF1C6CC89EF49539":{"comparator":"&lt;= downsize-safe","epoch_scope":"CURRENT","evidence_id":"EVID-E0A9E6F5CF1C6CC89EF49539","interpretation":"Extreme tail execution latency guardrail.","metric":"p99_execution_ms_30","observation_window":"last 30 days within current epoch","source":"system.query.history","source_field":"execution_duration_ms","threshold":30000,"unit":"ms","value":16000}}</t>
        </is>
      </c>
      <c r="AV78" s="22" t="inlineStr">
        <is>
          <t>[{"comparator":"&gt;= upsize signal","evidence_id":"EVID-473DAE924D0494843A151322","metric":"spill_query_pct_30","threshold":2.0},{"comparator":"&gt;= evidence minimum for upsize","evidence_id":"EVID-2E961C8C26A8DD4D880DC0C3","metric":"spill_queries_30","threshold":20},{"comparator":"&gt;= upsize signal","evidence_id":"EVID-9B5F3B007AF6B0C87B636B00","metric":"p95_spill_bytes_when_spilled_30","threshold":1073741824},{"comparator":"&lt;= downsize-safe","evidence_id":"EVID-25C1DA18EEB5F16EA1C37494","metric":"queued_query_pct_30","threshold":0.5},{"comparator":"&lt;= downsize-safe","evidence_id":"EVID-39C9D8D68FDB2B48EC1F8E06","metric":"p95_execution_ms_30","threshold":5000},{"comparator":"&lt;= downsize-safe","evidence_id":"EVID-E0A9E6F5CF1C6CC89EF49539","metric":"p99_execution_ms_30","threshold":30000}]</t>
        </is>
      </c>
      <c r="AW78" s="22" t="inlineStr">
        <is>
          <t>[{"condition":null,"dependency_type":"KNOB","ref_id":"warehouse_channel"}]</t>
        </is>
      </c>
      <c r="AX78" s="22" t="inlineStr">
        <is>
          <t>["max_clusters","min_clusters","auto_stop_minutes"]</t>
        </is>
      </c>
      <c r="AY78" s="22" t="inlineStr">
        <is>
          <t>["A_B_PERFORMANCE_VALIDATION_REQUIRED"]</t>
        </is>
      </c>
      <c r="AZ78" s="22" t="inlineStr">
        <is>
          <t>[{"execution_state":"READY_FOR_CANARY","scenario_id":"SCN-C7D4A73498A01E43CF2F1F99","scenario_name":"Plan A — Optimize current warehouse type","step":1}]</t>
        </is>
      </c>
      <c r="BA78" s="22" t="inlineStr">
        <is>
          <t>[]</t>
        </is>
      </c>
    </row>
    <row r="79" ht="32" customHeight="1">
      <c r="A79" s="14" t="inlineStr">
        <is>
          <t>PKG-64D236F637ADCD1FA2350E7B</t>
        </is>
      </c>
      <c r="B79" s="14" t="inlineStr">
        <is>
          <t>CAND-E4FE1A1917EE61ADF0A90DD5</t>
        </is>
      </c>
      <c r="C79" s="14" t="inlineStr">
        <is>
          <t>WH-MAX-CLUSTER-ASSESS-001</t>
        </is>
      </c>
      <c r="D79" s="14" t="inlineStr">
        <is>
          <t>2234567890123456</t>
        </is>
      </c>
      <c r="E79" s="14" t="inlineStr">
        <is>
          <t>wh-synth-009</t>
        </is>
      </c>
      <c r="F79" s="15" t="inlineStr">
        <is>
          <t>Photon Migration Lab</t>
        </is>
      </c>
      <c r="G79" s="16" t="inlineStr">
        <is>
          <t>platform-lab@databricks.example</t>
        </is>
      </c>
      <c r="H79" s="14" t="inlineStr">
        <is>
          <t>EPOCH-854E1F09C274063DAE4EDC19</t>
        </is>
      </c>
      <c r="I79" s="18" t="inlineStr">
        <is>
          <t>max_clusters</t>
        </is>
      </c>
      <c r="J79" s="18" t="inlineStr">
        <is>
          <t>NO_CHANGE</t>
        </is>
      </c>
      <c r="K79" s="15" t="inlineStr">
        <is>
          <t>PERFORMANCE</t>
        </is>
      </c>
      <c r="L79" s="15" t="n">
        <v>4</v>
      </c>
      <c r="M79" s="15" t="n">
        <v>4</v>
      </c>
      <c r="N79" s="15" t="inlineStr">
        <is>
          <t>No sustained saturation requiring an increase and no strong evidence for a lower ceiling.</t>
        </is>
      </c>
      <c r="O79" s="21" t="n">
        <v>0.8</v>
      </c>
      <c r="P79" s="18" t="inlineStr">
        <is>
          <t>HIGH</t>
        </is>
      </c>
      <c r="Q79" s="18" t="b">
        <v>1</v>
      </c>
      <c r="R79" s="16" t="inlineStr">
        <is>
          <t>USD</t>
        </is>
      </c>
      <c r="S79" s="18" t="inlineStr">
        <is>
          <t>NO_CHANGE</t>
        </is>
      </c>
      <c r="T79" s="19" t="n">
        <v>21000</v>
      </c>
      <c r="U79" s="19" t="n">
        <v>2932.53</v>
      </c>
      <c r="V79" s="19" t="n">
        <v>23932.53</v>
      </c>
      <c r="W79" s="19" t="n">
        <v>0</v>
      </c>
      <c r="X79" s="19" t="n">
        <v>0</v>
      </c>
      <c r="Y79" s="19" t="n">
        <v>0</v>
      </c>
      <c r="Z79" s="19" t="n">
        <v>0</v>
      </c>
      <c r="AA79" s="19" t="n">
        <v>0</v>
      </c>
      <c r="AB79" s="19" t="n">
        <v>0</v>
      </c>
      <c r="AC79" s="19" t="n">
        <v>0</v>
      </c>
      <c r="AD79" s="19" t="n">
        <v>0</v>
      </c>
      <c r="AE79" s="19" t="n">
        <v>0</v>
      </c>
      <c r="AF79" s="19" t="n">
        <v>23932.53</v>
      </c>
      <c r="AG79" s="19" t="n">
        <v>23932.53</v>
      </c>
      <c r="AH79" s="19" t="n">
        <v>23932.53</v>
      </c>
      <c r="AI79" s="18" t="b">
        <v>0</v>
      </c>
      <c r="AJ79" s="18" t="inlineStr">
        <is>
          <t>NOT_APPLIED</t>
        </is>
      </c>
      <c r="AK79" s="16" t="inlineStr">
        <is>
          <t>—</t>
        </is>
      </c>
      <c r="AL79" s="18" t="inlineStr">
        <is>
          <t>—</t>
        </is>
      </c>
      <c r="AM79" s="19" t="inlineStr">
        <is>
          <t>UNAVAILABLE</t>
        </is>
      </c>
      <c r="AN79" s="19" t="inlineStr">
        <is>
          <t>UNAVAILABLE</t>
        </is>
      </c>
      <c r="AO79" s="19" t="inlineStr">
        <is>
          <t>UNAVAILABLE</t>
        </is>
      </c>
      <c r="AP79" s="19" t="inlineStr">
        <is>
          <t>UNAVAILABLE</t>
        </is>
      </c>
      <c r="AQ79" s="18" t="inlineStr">
        <is>
          <t>—</t>
        </is>
      </c>
      <c r="AR79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79" s="22" t="inlineStr">
        <is>
          <t>{"coverage":1.0,"epoch_maturity":1.0,"sample":1.0,"signal":0.7,"stability":0.91}</t>
        </is>
      </c>
      <c r="AT79" s="22" t="inlineStr">
        <is>
          <t>["EVID-8F2AFB31A724A7DCC1A017B4","EVID-ECA8EC5793FCAC7E93A8CB70","EVID-3BFFD13E796C679EC14F7CA3","EVID-36D86A2F5E0936332A1B2820","EVID-A8479D37C2BD6296B01193CA","EVID-D74AEF3FA0511AE5AC0CDAD8","EVID-07174CC5836579556EAE3FBA","EVID-43A9D4AA27211AD241140DA8","EVID-5F049D088166930E912ED0CA","EVID-814B842EA1F2BD7336C2E67C"]</t>
        </is>
      </c>
      <c r="AU79" s="22" t="inlineStr">
        <is>
          <t>{"EVID-07174CC5836579556EAE3FBA":{"comparator":"","epoch_scope":"CURRENT","evidence_id":"EVID-07174CC5836579556EAE3FBA","interpretation":"Observed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price","threshold":null,"unit":"USD","value":18480.0},"EVID-36D86A2F5E0936332A1B2820":{"comparator":"&gt;= increase signal","epoch_scope":"CURRENT","evidence_id":"EVID-36D86A2F5E0936332A1B2820","interpretation":"Frequency of capacity queueing.","metric":"queued_query_pct_30","observation_window":"last 30 days within current epoch","source":"system.query.history","source_field":"waiting_at_capacity_duration_ms","threshold":5.0,"unit":"%","value":0.1},"EVID-3BFFD13E796C679EC14F7CA3":{"comparator":"&lt;= reduce-safe","epoch_scope":"CURRENT","evidence_id":"EVID-3BFFD13E796C679EC14F7CA3","interpretation":"Fraction of running time at configured maximum.","metric":"time_at_max_pct","observation_window":"current epoch","source":"system.compute.warehouse_events","source_field":"cluster_count","threshold":1.0,"unit":"%","value":2.0},"EVID-43A9D4AA27211AD241140DA8":{"comparator":"","epoch_scope":"CURRENT","evidence_id":"EVID-43A9D4AA27211AD241140DA8","interpretation":"No-change forward DBU cost forecast anchored to the current configuration epoch.","metric":"forward_dbu_cost_365d","observation_window":"forward_365d","source":"derived","source_field":"epoch-runrate-v2.7","threshold":null,"unit":"USD","value":21000.0},"EVID-5F049D088166930E912ED0CA":{"comparator":"","epoch_scope":"CURRENT","evidence_id":"EVID-5F049D088166930E912ED0C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2932.53},"EVID-814B842EA1F2BD7336C2E67C":{"comparator":"","epoch_scope":"CURRENT","evidence_id":"EVID-814B842EA1F2BD7336C2E67C","interpretation":"Calendar-day coverage available to the forward cost model.","metric":"cost_history_days","observation_window":"current_epoch","source":"system.billing.usage","source_field":"usage_date","threshold":null,"unit":"days","value":233},"EVID-8F2AFB31A724A7DCC1A017B4":{"comparator":"","epoch_scope":"CURRENT","evidence_id":"EVID-8F2AFB31A724A7DCC1A017B4","interpretation":"Configured concurrency ceiling.","metric":"max_clusters","observation_window":"current epoch","source":"system.compute.warehouses","source_field":"max_clusters","threshold":null,"unit":"value","value":4},"EVID-A8479D37C2BD6296B01193CA":{"comparator":"&gt;= evidence minimum for increase","epoch_scope":"CURRENT","evidence_id":"EVID-A8479D37C2BD6296B01193CA","interpretation":"Queries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epoch","source":"system.query.history","source_field":"waiting_at_capacity_duration_ms","threshold":20,"unit":"queries","value":7},"EVID-D74AEF3FA0511AE5AC0CDAD8":{"comparator":"&gt;= increase signal","epoch_scope":"CURRENT","evidence_id":"EVID-D74AEF3FA0511AE5AC0CDAD8","interpretation":"Severity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epoch","source":"system.query.history","source_field":"waiting_at_capacity_duration_ms","threshold":30000,"unit":"ms","value":1000},"EVID-ECA8EC5793FCAC7E93A8CB70":{"comparator":"","epoch_scope":"CURRENT","evidence_id":"EVID-ECA8EC5793FCAC7E93A8CB70","interpretation":"Highest observed scale level.","metric":"max_observed_clusters","observation_window":"current epoch","source":"system.compute.warehouse_events","source_field":"cluster_count","threshold":null,"unit":"clusters","value":2}}</t>
        </is>
      </c>
      <c r="AV79" s="22" t="inlineStr">
        <is>
          <t>[{"comparator":"&lt;= reduce-safe","evidence_id":"EVID-3BFFD13E796C679EC14F7CA3","metric":"time_at_max_pct","threshold":1.0},{"comparator":"&gt;= increase signal","evidence_id":"EVID-36D86A2F5E0936332A1B2820","metric":"queued_query_pct_30","threshold":5.0},{"comparator":"&gt;= evidence minimum for increase","evidence_id":"EVID-A8479D37C2BD6296B01193CA","metric":"queued_queries_30","threshold":20},{"comparator":"&gt;= increase signal","evidence_id":"EVID-D74AEF3FA0511AE5AC0CDAD8","metric":"p95_wait_capacity_ms_when_queued_30","threshold":30000}]</t>
        </is>
      </c>
      <c r="AW79" s="22" t="inlineStr">
        <is>
          <t>[{"condition":null,"dependency_type":"KNOB","ref_id":"warehouse_size"}]</t>
        </is>
      </c>
      <c r="AX79" s="22" t="inlineStr">
        <is>
          <t>[]</t>
        </is>
      </c>
      <c r="AY79" s="22" t="inlineStr">
        <is>
          <t>[]</t>
        </is>
      </c>
      <c r="AZ79" s="22" t="inlineStr">
        <is>
          <t>[]</t>
        </is>
      </c>
      <c r="BA79" s="22" t="inlineStr">
        <is>
          <t>[]</t>
        </is>
      </c>
    </row>
    <row r="80" ht="32" customHeight="1">
      <c r="A80" s="14" t="inlineStr">
        <is>
          <t>PKG-64D236F637ADCD1FA2350E7B</t>
        </is>
      </c>
      <c r="B80" s="14" t="inlineStr">
        <is>
          <t>CAND-580A5D1DBAA9FF66F3497081</t>
        </is>
      </c>
      <c r="C80" s="14" t="inlineStr">
        <is>
          <t>WH-MIN-CLUSTER-ASSESS-001</t>
        </is>
      </c>
      <c r="D80" s="14" t="inlineStr">
        <is>
          <t>2234567890123456</t>
        </is>
      </c>
      <c r="E80" s="14" t="inlineStr">
        <is>
          <t>wh-synth-009</t>
        </is>
      </c>
      <c r="F80" s="15" t="inlineStr">
        <is>
          <t>Photon Migration Lab</t>
        </is>
      </c>
      <c r="G80" s="16" t="inlineStr">
        <is>
          <t>platform-lab@databricks.example</t>
        </is>
      </c>
      <c r="H80" s="14" t="inlineStr">
        <is>
          <t>EPOCH-854E1F09C274063DAE4EDC19</t>
        </is>
      </c>
      <c r="I80" s="18" t="inlineStr">
        <is>
          <t>min_clusters</t>
        </is>
      </c>
      <c r="J80" s="18" t="inlineStr">
        <is>
          <t>NO_CHANGE</t>
        </is>
      </c>
      <c r="K80" s="15" t="inlineStr">
        <is>
          <t>COST</t>
        </is>
      </c>
      <c r="L80" s="15" t="n">
        <v>1</v>
      </c>
      <c r="M80" s="15" t="n">
        <v>1</v>
      </c>
      <c r="N80" s="15" t="inlineStr">
        <is>
          <t>Minimum is already 1.</t>
        </is>
      </c>
      <c r="O80" s="21" t="n">
        <v>0.8</v>
      </c>
      <c r="P80" s="18" t="inlineStr">
        <is>
          <t>HIGH</t>
        </is>
      </c>
      <c r="Q80" s="18" t="b">
        <v>1</v>
      </c>
      <c r="R80" s="16" t="inlineStr">
        <is>
          <t>USD</t>
        </is>
      </c>
      <c r="S80" s="18" t="inlineStr">
        <is>
          <t>NO_CHANGE</t>
        </is>
      </c>
      <c r="T80" s="19" t="n">
        <v>21000</v>
      </c>
      <c r="U80" s="19" t="n">
        <v>2932.53</v>
      </c>
      <c r="V80" s="19" t="n">
        <v>23932.53</v>
      </c>
      <c r="W80" s="19" t="n">
        <v>0</v>
      </c>
      <c r="X80" s="19" t="n">
        <v>0</v>
      </c>
      <c r="Y80" s="19" t="n">
        <v>0</v>
      </c>
      <c r="Z80" s="19" t="n">
        <v>0</v>
      </c>
      <c r="AA80" s="19" t="n">
        <v>0</v>
      </c>
      <c r="AB80" s="19" t="n">
        <v>0</v>
      </c>
      <c r="AC80" s="19" t="n">
        <v>0</v>
      </c>
      <c r="AD80" s="19" t="n">
        <v>0</v>
      </c>
      <c r="AE80" s="19" t="n">
        <v>0</v>
      </c>
      <c r="AF80" s="19" t="n">
        <v>23932.53</v>
      </c>
      <c r="AG80" s="19" t="n">
        <v>23932.53</v>
      </c>
      <c r="AH80" s="19" t="n">
        <v>23932.53</v>
      </c>
      <c r="AI80" s="18" t="b">
        <v>0</v>
      </c>
      <c r="AJ80" s="18" t="inlineStr">
        <is>
          <t>NOT_APPLIED</t>
        </is>
      </c>
      <c r="AK80" s="16" t="inlineStr">
        <is>
          <t>—</t>
        </is>
      </c>
      <c r="AL80" s="18" t="inlineStr">
        <is>
          <t>—</t>
        </is>
      </c>
      <c r="AM80" s="19" t="inlineStr">
        <is>
          <t>UNAVAILABLE</t>
        </is>
      </c>
      <c r="AN80" s="19" t="inlineStr">
        <is>
          <t>UNAVAILABLE</t>
        </is>
      </c>
      <c r="AO80" s="19" t="inlineStr">
        <is>
          <t>UNAVAILABLE</t>
        </is>
      </c>
      <c r="AP80" s="19" t="inlineStr">
        <is>
          <t>UNAVAILABLE</t>
        </is>
      </c>
      <c r="AQ80" s="18" t="inlineStr">
        <is>
          <t>—</t>
        </is>
      </c>
      <c r="AR80" s="15" t="inlineStr">
        <is>
          <t>time_at_min_pct &gt;= reduction signal 25.0; queued_query_pct_30 &lt;= safe 0.5; p95_wait_capacity_ms_when_queued_30 &lt;= safe 5000; time_at_max_pct &gt;= blocker 20.0</t>
        </is>
      </c>
      <c r="AS80" s="22" t="inlineStr">
        <is>
          <t>{"coverage":1.0,"epoch_maturity":1.0,"sample":1.0,"signal":0.7,"stability":0.91}</t>
        </is>
      </c>
      <c r="AT80" s="22" t="inlineStr">
        <is>
          <t>["EVID-61E092FB1CF8E0D4F83E7C75","EVID-A360A570EBEE8B5F549A53E0","EVID-E11EAFF1B6EDF5B5DA7152A2","EVID-2CD27BF63AFEE3E528EEE1A4","EVID-5821F563D2CDBB6D2A1B7AF1","EVID-07174CC5836579556EAE3FBA","EVID-43A9D4AA27211AD241140DA8","EVID-5F049D088166930E912ED0CA","EVID-814B842EA1F2BD7336C2E67C"]</t>
        </is>
      </c>
      <c r="AU80" s="22" t="inlineStr">
        <is>
          <t>{"EVID-07174CC5836579556EAE3FBA":{"comparator":"","epoch_scope":"CURRENT","evidence_id":"EVID-07174CC5836579556EAE3FBA","interpretation":"Observed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price","threshold":null,"unit":"USD","value":18480.0},"EVID-2CD27BF63AFEE3E528EEE1A4":{"comparator":"&lt;= safe","epoch_scope":"CURRENT","evidence_id":"EVID-2CD27BF63AFEE3E528EEE1A4","interpretation":"Queue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epoch","source":"system.query.history","source_field":"waiting_at_capacity_duration_ms","threshold":5000,"unit":"ms","value":1000},"EVID-43A9D4AA27211AD241140DA8":{"comparator":"","epoch_scope":"CURRENT","evidence_id":"EVID-43A9D4AA27211AD241140DA8","interpretation":"No-change forward DBU cost forecast anchored to the current configuration epoch.","metric":"forward_dbu_cost_365d","observation_window":"forward_365d","source":"derived","source_field":"epoch-runrate-v2.7","threshold":null,"unit":"USD","value":21000.0},"EVID-5821F563D2CDBB6D2A1B7AF1":{"comparator":"&gt;= blocker","epoch_scope":"CURRENT","evidence_id":"EVID-5821F563D2CDBB6D2A1B7AF1","interpretation":"Sustained scale pressure blocks minimum reduction.","metric":"time_at_max_pct","observation_window":"current epoch","source":"system.compute.warehouse_events","source_field":"cluster_count","threshold":20.0,"unit":"%","value":2.0},"EVID-5F049D088166930E912ED0CA":{"comparator":"","epoch_scope":"CURRENT","evidence_id":"EVID-5F049D088166930E912ED0CA","interpretation":"Forward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2932.53},"EVID-61E092FB1CF8E0D4F83E7C75":{"comparator":"","epoch_scope":"CURRENT","evidence_id":"EVID-61E092FB1CF8E0D4F83E7C75","interpretation":"Configured minimum scale.","metric":"min_clusters","observation_window":"current epoch","source":"system.compute.warehouses","source_field":"min_clusters","threshold":null,"unit":"value","value":1},"EVID-814B842EA1F2BD7336C2E67C":{"comparator":"","epoch_scope":"CURRENT","evidence_id":"EVID-814B842EA1F2BD7336C2E67C","interpretation":"Calendar-day coverage available to the forward cost model.","metric":"cost_history_days","observation_window":"current_epoch","source":"system.billing.usage","source_field":"usage_date","threshold":null,"unit":"days","value":233},"EVID-A360A570EBEE8B5F549A53E0":{"comparator":"&gt;= reduction signal","epoch_scope":"CURRENT","evidence_id":"EVID-A360A570EBEE8B5F549A53E0","interpretation":"How often the warehouse sits at its minimum.","metric":"time_at_min_pct","observation_window":"current epoch","source":"system.compute.warehouse_events","source_field":"cluster_count","threshold":25.0,"unit":"%","value":55.0},"EVID-E11EAFF1B6EDF5B5DA7152A2":{"comparator":"&lt;= safe","epoch_scope":"CURRENT","evidence_id":"EVID-E11EAFF1B6EDF5B5DA7152A2","interpretation":"Queue guardrail before reducing baseline capacity.","metric":"queued_query_pct_30","observation_window":"last 30 days within current epoch","source":"system.query.history","source_field":"waiting_at_capacity_duration_ms","threshold":0.5,"unit":"%","value":0.1}}</t>
        </is>
      </c>
      <c r="AV80" s="22" t="inlineStr">
        <is>
          <t>[{"comparator":"&gt;= reduction signal","evidence_id":"EVID-A360A570EBEE8B5F549A53E0","metric":"time_at_min_pct","threshold":25.0},{"comparator":"&lt;= safe","evidence_id":"EVID-E11EAFF1B6EDF5B5DA7152A2","metric":"queued_query_pct_30","threshold":0.5},{"comparator":"&lt;= safe","evidence_id":"EVID-2CD27BF63AFEE3E528EEE1A4","metric":"p95_wait_capacity_ms_when_queued_30","threshold":5000},{"comparator":"&gt;= blocker","evidence_id":"EVID-5821F563D2CDBB6D2A1B7AF1","metric":"time_at_max_pct","threshold":20.0}]</t>
        </is>
      </c>
      <c r="AW80" s="22" t="inlineStr">
        <is>
          <t>[{"condition":null,"dependency_type":"KNOB","ref_id":"warehouse_size"},{"condition":null,"dependency_type":"KNOB","ref_id":"max_clusters"}]</t>
        </is>
      </c>
      <c r="AX80" s="22" t="inlineStr">
        <is>
          <t>[]</t>
        </is>
      </c>
      <c r="AY80" s="22" t="inlineStr">
        <is>
          <t>[]</t>
        </is>
      </c>
      <c r="AZ80" s="22" t="inlineStr">
        <is>
          <t>[]</t>
        </is>
      </c>
      <c r="BA80" s="22" t="inlineStr">
        <is>
          <t>[]</t>
        </is>
      </c>
    </row>
    <row r="81" ht="32" customHeight="1">
      <c r="A81" s="14" t="inlineStr">
        <is>
          <t>PKG-64D236F637ADCD1FA2350E7B</t>
        </is>
      </c>
      <c r="B81" s="14" t="inlineStr">
        <is>
          <t>CAND-A69115976DE8B2D6CED3E2F9</t>
        </is>
      </c>
      <c r="C81" s="14" t="inlineStr">
        <is>
          <t>WH-AUTOSTOP-REDUCE-001</t>
        </is>
      </c>
      <c r="D81" s="14" t="inlineStr">
        <is>
          <t>2234567890123456</t>
        </is>
      </c>
      <c r="E81" s="14" t="inlineStr">
        <is>
          <t>wh-synth-009</t>
        </is>
      </c>
      <c r="F81" s="15" t="inlineStr">
        <is>
          <t>Photon Migration Lab</t>
        </is>
      </c>
      <c r="G81" s="16" t="inlineStr">
        <is>
          <t>platform-lab@databricks.example</t>
        </is>
      </c>
      <c r="H81" s="14" t="inlineStr">
        <is>
          <t>EPOCH-854E1F09C274063DAE4EDC19</t>
        </is>
      </c>
      <c r="I81" s="18" t="inlineStr">
        <is>
          <t>auto_stop_minutes</t>
        </is>
      </c>
      <c r="J81" s="18" t="inlineStr">
        <is>
          <t>ACTIONABLE</t>
        </is>
      </c>
      <c r="K81" s="15" t="inlineStr">
        <is>
          <t>COST</t>
        </is>
      </c>
      <c r="L81" s="15" t="n">
        <v>60</v>
      </c>
      <c r="M81" s="15" t="n">
        <v>30</v>
      </c>
      <c r="N81" s="15" t="inlineStr">
        <is>
          <t>Idle-gap evidence supports a lower auto-stop target.</t>
        </is>
      </c>
      <c r="O81" s="21" t="n">
        <v>0.93</v>
      </c>
      <c r="P81" s="18" t="inlineStr">
        <is>
          <t>HIGH</t>
        </is>
      </c>
      <c r="Q81" s="18" t="b">
        <v>1</v>
      </c>
      <c r="R81" s="16" t="inlineStr">
        <is>
          <t>USD</t>
        </is>
      </c>
      <c r="S81" s="18" t="inlineStr">
        <is>
          <t>SAVINGS</t>
        </is>
      </c>
      <c r="T81" s="19" t="n">
        <v>21000</v>
      </c>
      <c r="U81" s="19" t="n">
        <v>2932.53</v>
      </c>
      <c r="V81" s="19" t="n">
        <v>23932.53</v>
      </c>
      <c r="W81" s="19" t="n">
        <v>1260</v>
      </c>
      <c r="X81" s="19" t="n">
        <v>1890</v>
      </c>
      <c r="Y81" s="19" t="n">
        <v>2520</v>
      </c>
      <c r="Z81" s="19" t="n">
        <v>175.95</v>
      </c>
      <c r="AA81" s="19" t="n">
        <v>263.93</v>
      </c>
      <c r="AB81" s="19" t="n">
        <v>351.9</v>
      </c>
      <c r="AC81" s="19" t="n">
        <v>1435.95</v>
      </c>
      <c r="AD81" s="19" t="n">
        <v>2153.93</v>
      </c>
      <c r="AE81" s="19" t="n">
        <v>2871.9</v>
      </c>
      <c r="AF81" s="19" t="n">
        <v>21060.63</v>
      </c>
      <c r="AG81" s="19" t="n">
        <v>21778.6</v>
      </c>
      <c r="AH81" s="19" t="n">
        <v>22496.58</v>
      </c>
      <c r="AI81" s="18" t="b">
        <v>0</v>
      </c>
      <c r="AJ81" s="18" t="inlineStr">
        <is>
          <t>NOT_APPLIED</t>
        </is>
      </c>
      <c r="AK81" s="16" t="inlineStr">
        <is>
          <t>—</t>
        </is>
      </c>
      <c r="AL81" s="18" t="inlineStr">
        <is>
          <t>—</t>
        </is>
      </c>
      <c r="AM81" s="19" t="inlineStr">
        <is>
          <t>UNAVAILABLE</t>
        </is>
      </c>
      <c r="AN81" s="19" t="inlineStr">
        <is>
          <t>UNAVAILABLE</t>
        </is>
      </c>
      <c r="AO81" s="19" t="inlineStr">
        <is>
          <t>UNAVAILABLE</t>
        </is>
      </c>
      <c r="AP81" s="19" t="inlineStr">
        <is>
          <t>UNAVAILABLE</t>
        </is>
      </c>
      <c r="AQ81" s="18" t="inlineStr">
        <is>
          <t>—</t>
        </is>
      </c>
      <c r="AR81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81" s="22" t="inlineStr">
        <is>
          <t>{"coverage":1.0,"epoch_maturity":1.0,"sample":1.0,"signal":1.0,"stability":0.91}</t>
        </is>
      </c>
      <c r="AT81" s="22" t="inlineStr">
        <is>
          <t>["EVID-E6197B84E314F1E28F08BB9E","EVID-F06D6C88947D665948ED9A70","EVID-CA2FD32DD6DA1B4179B6677F","EVID-4B7D594AEF10EB1994631521","EVID-3FBBE1F8B66451E76AC07E04","EVID-B05D9F6F28424A0150AE0161","EVID-E09655B4C8E5A7904441CDAF","EVID-1D08ADE1876B67CB8F50C528","EVID-07174CC5836579556EAE3FBA","EVID-43A9D4AA27211AD241140DA8","EVID-5F049D088166930E912ED0CA","EVID-814B842EA1F2BD7336C2E67C"]</t>
        </is>
      </c>
      <c r="AU81" s="22" t="inlineStr">
        <is>
          <t>{"EVID-07174CC5836579556EAE3FBA":{"comparator":"","epoch_scope":"CURRENT","evidence_id":"EVID-07174CC5836579556EAE3FBA","interpretation":"Observed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price","threshold":null,"unit":"USD","value":18480.0},"EVID-1D08ADE1876B67CB8F50C528":{"comparator":"","epoch_scope":"CURRENT","evidence_id":"EVID-1D08ADE1876B67CB8F50C528","interpretation":"Estimated additional off-time at the candidate target.","metric":"estimated_additional_off_minutes","observation_window":"current epoch","source":"system.query.history","source_field":"inter-query gap","threshold":null,"unit":"minutes","value":3600.0},"EVID-3FBBE1F8B66451E76AC07E04":{"comparator":"","epoch_scope":"CURRENT","evidence_id":"EVID-3FBBE1F8B66451E76AC07E04","interpretation":"Queries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epoch","source":"system.query.history","source_field":"waiting_for_compute_duration_ms","threshold":null,"unit":"queries","value":5},"EVID-43A9D4AA27211AD241140DA8":{"comparator":"","epoch_scope":"CURRENT","evidence_id":"EVID-43A9D4AA27211AD241140DA8","interpretation":"No-change forward DBU cost forecast anchored to the current configuration epoch.","metric":"forward_dbu_cost_365d","observation_window":"forward_365d","source":"derived","source_field":"epoch-runrate-v2.7","threshold":null,"unit":"USD","value":21000.0},"EVID-4B7D594AEF10EB1994631521":{"comparator":"&gt;= evidence minimum","epoch_scope":"CURRENT","evidence_id":"EVID-4B7D594AEF10EB1994631521","interpretation":"Observed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30000.0},"EVID-5F049D088166930E912ED0CA":{"comparator":"","epoch_scope":"CURRENT","evidence_id":"EVID-5F049D088166930E912ED0C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2932.53},"EVID-814B842EA1F2BD7336C2E67C":{"comparator":"","epoch_scope":"CURRENT","evidence_id":"EVID-814B842EA1F2BD7336C2E67C","interpretation":"Calendar-day coverage available to the forward cost model.","metric":"cost_history_days","observation_window":"current_epoch","source":"system.billing.usage","source_field":"usage_date","threshold":null,"unit":"days","value":233},"EVID-B05D9F6F28424A0150AE0161":{"comparator":"&gt;= cold-start blocker","epoch_scope":"CURRENT","evidence_id":"EVID-B05D9F6F28424A0150AE0161","interpretation":"Cold-start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epoch","source":"system.query.history","source_field":"waiting_for_compute_duration_ms","threshold":60000,"unit":"ms","value":3500},"EVID-CA2FD32DD6DA1B4179B6677F":{"comparator":"&gt;= evidence minimum","epoch_scope":"CURRENT","evidence_id":"EVID-CA2FD32DD6DA1B4179B6677F","interpretation":"Non-overlapping inter-query gap sample supporting the auto-stop counterfactual.","metric":"idle_gap_count","observation_window":"current epoch","source":"system.query.history","source_field":"start_time/end_time","threshold":30,"unit":"gaps","value":288},"EVID-E09655B4C8E5A7904441CDAF":{"comparator":"&gt;= cold-start blocker","epoch_scope":"CURRENT","evidence_id":"EVID-E09655B4C8E5A7904441CDAF","interpretation":"Restart frequency guardrail.","metric":"starts_per_active_day_30","observation_window":"last 30 days within current epoch","source":"system.compute.warehouse_events","source_field":"event_type=STARTING","threshold":0.5,"unit":"starts/day","value":0.1667},"EVID-E6197B84E314F1E28F08BB9E":{"comparator":"&gt; target","epoch_scope":"CURRENT","evidence_id":"EVID-E6197B84E314F1E28F08BB9E","interpretation":"Current idle termination setting versus deterministic policy target.","metric":"auto_stop_minutes","observation_window":"current epoch","source":"system.compute.warehouses","source_field":"auto_stop_minutes","threshold":30,"unit":"minutes","value":60},"EVID-F06D6C88947D665948ED9A70":{"comparator":"","epoch_scope":"CURRENT","evidence_id":"EVID-F06D6C88947D665948ED9A70","interpretation":"Activity density selects the auto-stop target.","metric":"queries_per_active_day_30","observation_window":"last 30 days within current epoch","source":"system.query.history","source_field":"start_time","threshold":null,"unit":"queries/day","value":240.0}}</t>
        </is>
      </c>
      <c r="AV81" s="22" t="inlineStr">
        <is>
          <t>[{"comparator":"&gt; target","evidence_id":"EVID-E6197B84E314F1E28F08BB9E","metric":"auto_stop_minutes","threshold":30},{"comparator":"&gt;= evidence minimum","evidence_id":"EVID-CA2FD32DD6DA1B4179B6677F","metric":"idle_gap_count","threshold":30},{"comparator":"&gt;= evidence minimum","evidence_id":"EVID-4B7D594AEF10EB1994631521","metric":"cluster_minutes","threshold":1.0},{"comparator":"&gt;= cold-start blocker","evidence_id":"EVID-B05D9F6F28424A0150AE0161","metric":"p95_wait_compute_ms_when_waited_30","threshold":60000},{"comparator":"&gt;= cold-start blocker","evidence_id":"EVID-E09655B4C8E5A7904441CDAF","metric":"starts_per_active_day_30","threshold":0.5}]</t>
        </is>
      </c>
      <c r="AW81" s="22" t="inlineStr">
        <is>
          <t>[{"condition":null,"dependency_type":"KNOB","ref_id":"min_clusters"}]</t>
        </is>
      </c>
      <c r="AX81" s="22" t="inlineStr">
        <is>
          <t>[]</t>
        </is>
      </c>
      <c r="AY81" s="22" t="inlineStr">
        <is>
          <t>[]</t>
        </is>
      </c>
      <c r="AZ81" s="22" t="inlineStr">
        <is>
          <t>[{"execution_state":"PENDING_REEVALUATION","scenario_id":"SCN-C7D4A73498A01E43CF2F1F99","scenario_name":"Plan A — Optimize current warehouse type","step":2}]</t>
        </is>
      </c>
      <c r="BA81" s="22" t="inlineStr">
        <is>
          <t>[]</t>
        </is>
      </c>
    </row>
    <row r="82" ht="32" customHeight="1">
      <c r="A82" s="14" t="inlineStr">
        <is>
          <t>PKG-64D236F637ADCD1FA2350E7B</t>
        </is>
      </c>
      <c r="B82" s="14" t="inlineStr">
        <is>
          <t>CAND-0E7487FBA4179110E052404A</t>
        </is>
      </c>
      <c r="C82" s="14" t="inlineStr">
        <is>
          <t>WH-SERVERLESS-MIGRATE-001</t>
        </is>
      </c>
      <c r="D82" s="14" t="inlineStr">
        <is>
          <t>2234567890123456</t>
        </is>
      </c>
      <c r="E82" s="14" t="inlineStr">
        <is>
          <t>wh-synth-009</t>
        </is>
      </c>
      <c r="F82" s="15" t="inlineStr">
        <is>
          <t>Photon Migration Lab</t>
        </is>
      </c>
      <c r="G82" s="16" t="inlineStr">
        <is>
          <t>platform-lab@databricks.example</t>
        </is>
      </c>
      <c r="H82" s="14" t="inlineStr">
        <is>
          <t>EPOCH-854E1F09C274063DAE4EDC19</t>
        </is>
      </c>
      <c r="I82" s="18" t="inlineStr">
        <is>
          <t>warehouse_type</t>
        </is>
      </c>
      <c r="J82" s="18" t="inlineStr">
        <is>
          <t>TEST_REQUIRED</t>
        </is>
      </c>
      <c r="K82" s="15" t="inlineStr">
        <is>
          <t>MIGRATION, COST_AND_PERFORMANCE, OPERATIONS</t>
        </is>
      </c>
      <c r="L82" s="15" t="inlineStr">
        <is>
          <t>PRO</t>
        </is>
      </c>
      <c r="M82" s="15" t="inlineStr">
        <is>
          <t>SERVERLESS</t>
        </is>
      </c>
      <c r="N82" s="15" t="inlineStr">
        <is>
          <t>Serverless is evaluated as a separate migration experiment with a pre-canary DBU/AWS counterfactual and deterministic compatibility gate.</t>
        </is>
      </c>
      <c r="O82" s="21" t="n">
        <v>0.78</v>
      </c>
      <c r="P82" s="18" t="inlineStr">
        <is>
          <t>MEDIUM</t>
        </is>
      </c>
      <c r="Q82" s="18" t="b">
        <v>1</v>
      </c>
      <c r="R82" s="16" t="inlineStr">
        <is>
          <t>USD</t>
        </is>
      </c>
      <c r="S82" s="18" t="inlineStr">
        <is>
          <t>SAVINGS</t>
        </is>
      </c>
      <c r="T82" s="19" t="n">
        <v>21000</v>
      </c>
      <c r="U82" s="19" t="n">
        <v>2932.53</v>
      </c>
      <c r="V82" s="19" t="n">
        <v>23932.53</v>
      </c>
      <c r="W82" s="19" t="n">
        <v>12227.47</v>
      </c>
      <c r="X82" s="19" t="n">
        <v>14420.6</v>
      </c>
      <c r="Y82" s="19" t="n">
        <v>16613.73</v>
      </c>
      <c r="Z82" s="19" t="n">
        <v>2932.53</v>
      </c>
      <c r="AA82" s="19" t="n">
        <v>2932.53</v>
      </c>
      <c r="AB82" s="19" t="n">
        <v>2932.53</v>
      </c>
      <c r="AC82" s="19" t="n">
        <v>15160</v>
      </c>
      <c r="AD82" s="19" t="n">
        <v>17353.13</v>
      </c>
      <c r="AE82" s="19" t="n">
        <v>19546.26</v>
      </c>
      <c r="AF82" s="19" t="n">
        <v>4386.27</v>
      </c>
      <c r="AG82" s="19" t="n">
        <v>6579.4</v>
      </c>
      <c r="AH82" s="19" t="n">
        <v>8772.530000000001</v>
      </c>
      <c r="AI82" s="18" t="b">
        <v>0</v>
      </c>
      <c r="AJ82" s="18" t="inlineStr">
        <is>
          <t>NOT_APPLIED</t>
        </is>
      </c>
      <c r="AK82" s="16" t="inlineStr">
        <is>
          <t>—</t>
        </is>
      </c>
      <c r="AL82" s="18" t="inlineStr">
        <is>
          <t>—</t>
        </is>
      </c>
      <c r="AM82" s="19" t="inlineStr">
        <is>
          <t>UNAVAILABLE</t>
        </is>
      </c>
      <c r="AN82" s="19" t="inlineStr">
        <is>
          <t>UNAVAILABLE</t>
        </is>
      </c>
      <c r="AO82" s="19" t="inlineStr">
        <is>
          <t>UNAVAILABLE</t>
        </is>
      </c>
      <c r="AP82" s="19" t="inlineStr">
        <is>
          <t>UNAVAILABLE</t>
        </is>
      </c>
      <c r="AQ82" s="18" t="inlineStr">
        <is>
          <t>—</t>
        </is>
      </c>
      <c r="AR82" s="15" t="inlineStr">
        <is>
          <t>No numeric threshold</t>
        </is>
      </c>
      <c r="AS82" s="22" t="inlineStr">
        <is>
          <t>{"coverage":1.0,"epoch_maturity":1.0,"sample":1.0,"signal":1.0,"stability":0.91}</t>
        </is>
      </c>
      <c r="AT82" s="22" t="inlineStr">
        <is>
          <t>["EVID-FEA1A86964875B556D58A600","EVID-223C7D3604E9DF00A1BEF7CC","EVID-19826A02AE03B4A846113469","EVID-D84F7646519258747323D10D","EVID-DFCDBC00C82164F40BF36FB7","EVID-57A759616BDD3E869A9BD1B6","EVID-469489F4837B65DD18F63C9D","EVID-058D81357EB5272C1DE9ED9B","EVID-E02CC741A5434D31B5A71083","EVID-8A92D5F7019BF02D403BCB98","EVID-A8A9397A693D4D562A86DAC3","EVID-65D1AD0CE53C4B489DEF9257","EVID-3A43D2B90A2ADDC63154F1DC","EVID-07174CC5836579556EAE3FBA","EVID-43A9D4AA27211AD241140DA8","EVID-5F049D088166930E912ED0CA","EVID-814B842EA1F2BD7336C2E67C"]</t>
        </is>
      </c>
      <c r="AU82" s="22" t="inlineStr">
        <is>
          <t>{"EVID-058D81357EB5272C1DE9ED9B":{"comparator":"","epoch_scope":"CURRENT","evidence_id":"EVID-058D81357EB5272C1DE9ED9B","interpretation":"Alert workload mix context.","metric":"alert_queries_30","observation_window":"last 30 days within current epoch","source":"system.query.history","source_field":"query_source.alert_id","threshold":null,"unit":"queries","value":0},"EVID-07174CC5836579556EAE3FBA":{"comparator":"","epoch_scope":"CURRENT","evidence_id":"EVID-07174CC5836579556EAE3FBA","interpretation":"Observed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price","threshold":null,"unit":"USD","value":18480.0},"EVID-19826A02AE03B4A846113469":{"comparator":"","epoch_scope":"CURRENT","evidence_id":"EVID-19826A02AE03B4A846113469","interpretation":"Query-tag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epoch","source":"system.query.history","source_field":"query_tags","threshold":null,"unit":"%","value":70.0},"EVID-223C7D3604E9DF00A1BEF7CC":{"comparator":"","epoch_scope":"CURRENT","evidence_id":"EVID-223C7D3604E9DF00A1BEF7CC","interpretation":"Observed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days","source":"system.billing.usage","source_field":"product_features.is_serverless","threshold":null,"unit":"%","value":0.0},"EVID-3A43D2B90A2ADDC63154F1DC":{"comparator":"","epoch_scope":"CURRENT","evidence_id":"EVID-3A43D2B90A2ADDC63154F1DC","interpretation":"Potential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only)","threshold":null,"unit":"queries","value":0},"EVID-43A9D4AA27211AD241140DA8":{"comparator":"","epoch_scope":"CURRENT","evidence_id":"EVID-43A9D4AA27211AD241140DA8","interpretation":"No-change forward DBU cost forecast anchored to the current configuration epoch.","metric":"forward_dbu_cost_365d","observation_window":"forward_365d","source":"derived","source_field":"epoch-runrate-v2.7","threshold":null,"unit":"USD","value":21000.0},"EVID-469489F4837B65DD18F63C9D":{"comparator":"","epoch_scope":"CURRENT","evidence_id":"EVID-469489F4837B65DD18F63C9D","interpretation":"Genie workload mix context.","metric":"genie_queries_30","observation_window":"last 30 days within current epoch","source":"system.query.history","source_field":"query_source.genie_space_id","threshold":null,"unit":"queries","value":0},"EVID-57A759616BDD3E869A9BD1B6":{"comparator":"","epoch_scope":"CURRENT","evidence_id":"EVID-57A759616BDD3E869A9BD1B6","interpretation":"Notebook workload mix context.","metric":"notebook_queries_30","observation_window":"last 30 days within current epoch","source":"system.query.history","source_field":"query_source.notebook_id","threshold":null,"unit":"queries","value":5400},"EVID-5F049D088166930E912ED0CA":{"comparator":"","epoch_scope":"CURRENT","evidence_id":"EVID-5F049D088166930E912ED0CA","interpretation":"Forward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2932.53},"EVID-65D1AD0CE53C4B489DEF9257":{"comparator":"","epoch_scope":"CURRENT","evidence_id":"EVID-65D1AD0CE53C4B489DEF9257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epoch","source":"system.query.history","source_field":"statement_text","threshold":null,"unit":"%","value":100.0},"EVID-814B842EA1F2BD7336C2E67C":{"comparator":"","epoch_scope":"CURRENT","evidence_id":"EVID-814B842EA1F2BD7336C2E67C","interpretation":"Calendar-day coverage available to the forward cost model.","metric":"cost_history_days","observation_window":"current_epoch","source":"system.billing.usage","source_field":"usage_date","threshold":null,"unit":"days","value":233},"EVID-8A92D5F7019BF02D403BCB98":{"comparator":"","epoch_scope":"CURRENT","evidence_id":"EVID-8A92D5F7019BF02D403BCB98","interpretation":"Power BI client workload mix context.","metric":"power_bi_queries_30","observation_window":"last 30 days within current epoch","source":"system.query.history","source_field":"client_application","threshold":null,"unit":"queries","value":0},"EVID-A8A9397A693D4D562A86DAC3":{"comparator":"","epoch_scope":"CURRENT","evidence_id":"EVID-A8A9397A693D4D562A86DAC3","interpretation":"Tableau client workload mix context.","metric":"tableau_queries_30","observation_window":"last 30 days within current epoch","source":"system.query.history","source_field":"client_application","threshold":null,"unit":"queries","value":0},"EVID-D84F7646519258747323D10D":{"comparator":"","epoch_scope":"CURRENT","evidence_id":"EVID-D84F7646519258747323D10D","interpretation":"Dashboard workload mix context.","metric":"dashboard_queries_30","observation_window":"last 30 days within current epoch","source":"system.query.history","source_field":"query_source.dashboard_id","threshold":null,"unit":"queries","value":0},"EVID-DFCDBC00C82164F40BF36FB7":{"comparator":"","epoch_scope":"CURRENT","evidence_id":"EVID-DFCDBC00C82164F40BF36FB7","interpretation":"Job workload mix context.","metric":"job_queries_30","observation_window":"last 30 days within current epoch","source":"system.query.history","source_field":"query_source.job_info.job_id","threshold":null,"unit":"queries","value":0},"EVID-E02CC741A5434D31B5A71083":{"comparator":"","epoch_scope":"CURRENT","evidence_id":"EVID-E02CC741A5434D31B5A71083","interpretation":"Databricks SQL editor/query workload mix context.","metric":"sql_editor_queries_30","observation_window":"last 30 days within current epoch","source":"system.query.history","source_field":"query_source.sql_query_id","threshold":null,"unit":"queries","value":576},"EVID-FEA1A86964875B556D58A600":{"comparator":"","epoch_scope":"CURRENT","evidence_id":"EVID-FEA1A86964875B556D58A600","interpretation":"Current warehouse type.","metric":"warehouse_type","observation_window":"current epoch","source":"system.compute.warehouses","source_field":"warehouse_type","threshold":null,"unit":"value","value":"PRO"}}</t>
        </is>
      </c>
      <c r="AV82" s="22" t="inlineStr">
        <is>
          <t>[]</t>
        </is>
      </c>
      <c r="AW82" s="22" t="inlineStr">
        <is>
          <t>[]</t>
        </is>
      </c>
      <c r="AX82" s="22" t="inlineStr">
        <is>
          <t>["warehouse_size","max_clusters","min_clusters","auto_stop_minutes"]</t>
        </is>
      </c>
      <c r="AY82" s="22" t="inlineStr">
        <is>
          <t>["A_B_COST_PERFORMANCE_VALIDATION_REQUIRED","SERVERLESS_WORKSPACE_CAPABILITY_NOT_CONFIRMED_FROM_SYSTEM_TABLES"]</t>
        </is>
      </c>
      <c r="AZ82" s="22" t="inlineStr">
        <is>
          <t>[{"execution_state":"READY_FOR_CANARY","scenario_id":"SCN-C2B8462C39C6CBF67EA76272","scenario_name":"Plan B — Serverless migration experiment","step":2}]</t>
        </is>
      </c>
      <c r="BA82" s="22" t="inlineStr">
        <is>
          <t>[]</t>
        </is>
      </c>
    </row>
    <row r="83" ht="32" customHeight="1">
      <c r="A83" s="14" t="inlineStr">
        <is>
          <t>PKG-B1B32F263A12954F8161595B</t>
        </is>
      </c>
      <c r="B83" s="14" t="inlineStr">
        <is>
          <t>CAND-48E992E09B6FDDDA184620BB</t>
        </is>
      </c>
      <c r="C83" s="14" t="inlineStr">
        <is>
          <t>WH-CHANNEL-CURRENT-001</t>
        </is>
      </c>
      <c r="D83" s="14" t="inlineStr">
        <is>
          <t>2234567890123456</t>
        </is>
      </c>
      <c r="E83" s="14" t="inlineStr">
        <is>
          <t>wh-synth-011</t>
        </is>
      </c>
      <c r="F83" s="15" t="inlineStr">
        <is>
          <t>Sandbox Sparse</t>
        </is>
      </c>
      <c r="G83" s="16" t="inlineStr">
        <is>
          <t>sandbox@databricks.example</t>
        </is>
      </c>
      <c r="H83" s="14" t="inlineStr">
        <is>
          <t>EPOCH-D2930EEA3D0AF4EFD1E12439</t>
        </is>
      </c>
      <c r="I83" s="18" t="inlineStr">
        <is>
          <t>warehouse_channel</t>
        </is>
      </c>
      <c r="J83" s="18" t="inlineStr">
        <is>
          <t>NO_CHANGE</t>
        </is>
      </c>
      <c r="K83" s="15" t="inlineStr">
        <is>
          <t>STABILITY</t>
        </is>
      </c>
      <c r="L83" s="15" t="inlineStr">
        <is>
          <t>CURRENT</t>
        </is>
      </c>
      <c r="M83" s="15" t="inlineStr">
        <is>
          <t>CURRENT</t>
        </is>
      </c>
      <c r="N83" s="15" t="inlineStr">
        <is>
          <t>No channel change indicated.</t>
        </is>
      </c>
      <c r="O83" s="21" t="n">
        <v>0.701</v>
      </c>
      <c r="P83" s="18" t="inlineStr">
        <is>
          <t>MEDIUM</t>
        </is>
      </c>
      <c r="Q83" s="18" t="b">
        <v>1</v>
      </c>
      <c r="R83" s="16" t="inlineStr">
        <is>
          <t>USD</t>
        </is>
      </c>
      <c r="S83" s="18" t="inlineStr">
        <is>
          <t>NO_CHANGE</t>
        </is>
      </c>
      <c r="T83" s="19" t="n">
        <v>3200</v>
      </c>
      <c r="U83" s="19" t="n">
        <v>3733.77</v>
      </c>
      <c r="V83" s="19" t="n">
        <v>6933.77</v>
      </c>
      <c r="W83" s="19" t="n">
        <v>0</v>
      </c>
      <c r="X83" s="19" t="n">
        <v>0</v>
      </c>
      <c r="Y83" s="19" t="n">
        <v>0</v>
      </c>
      <c r="Z83" s="19" t="n">
        <v>0</v>
      </c>
      <c r="AA83" s="19" t="n">
        <v>0</v>
      </c>
      <c r="AB83" s="19" t="n">
        <v>0</v>
      </c>
      <c r="AC83" s="19" t="n">
        <v>0</v>
      </c>
      <c r="AD83" s="19" t="n">
        <v>0</v>
      </c>
      <c r="AE83" s="19" t="n">
        <v>0</v>
      </c>
      <c r="AF83" s="19" t="n">
        <v>6933.77</v>
      </c>
      <c r="AG83" s="19" t="n">
        <v>6933.77</v>
      </c>
      <c r="AH83" s="19" t="n">
        <v>6933.77</v>
      </c>
      <c r="AI83" s="18" t="b">
        <v>0</v>
      </c>
      <c r="AJ83" s="18" t="inlineStr">
        <is>
          <t>NOT_APPLIED</t>
        </is>
      </c>
      <c r="AK83" s="16" t="inlineStr">
        <is>
          <t>—</t>
        </is>
      </c>
      <c r="AL83" s="18" t="inlineStr">
        <is>
          <t>—</t>
        </is>
      </c>
      <c r="AM83" s="19" t="inlineStr">
        <is>
          <t>UNAVAILABLE</t>
        </is>
      </c>
      <c r="AN83" s="19" t="inlineStr">
        <is>
          <t>UNAVAILABLE</t>
        </is>
      </c>
      <c r="AO83" s="19" t="inlineStr">
        <is>
          <t>UNAVAILABLE</t>
        </is>
      </c>
      <c r="AP83" s="19" t="inlineStr">
        <is>
          <t>UNAVAILABLE</t>
        </is>
      </c>
      <c r="AQ83" s="18" t="inlineStr">
        <is>
          <t>—</t>
        </is>
      </c>
      <c r="AR83" s="15" t="inlineStr">
        <is>
          <t>No numeric threshold</t>
        </is>
      </c>
      <c r="AS83" s="22" t="inlineStr">
        <is>
          <t>{"coverage":1.0,"epoch_maturity":1.0,"sample":0.09,"signal":0.7,"stability":0.725}</t>
        </is>
      </c>
      <c r="AT83" s="22" t="inlineStr">
        <is>
          <t>["EVID-8BFB6DBCD41163D4975AC2D0","EVID-8945206B7EFE7B399B2C2E7E","EVID-9D5FF441E9A83BA2016A7779","EVID-BB70599C732C9AF2C89E8F69","EVID-0645324E21523AC72540EBFB"]</t>
        </is>
      </c>
      <c r="AU83" s="22" t="inlineStr">
        <is>
          <t>{"EVID-0645324E21523AC72540EBFB":{"comparator":"","epoch_scope":"CURRENT","evidence_id":"EVID-0645324E21523AC72540EBFB","interpretation":"Calendar-day coverage available to the forward cost model.","metric":"cost_history_days","observation_window":"current_epoch","source":"system.billing.usage","source_field":"usage_date","threshold":null,"unit":"days","value":122},"EVID-8945206B7EFE7B399B2C2E7E":{"comparator":"","epoch_scope":"CURRENT","evidence_id":"EVID-8945206B7EFE7B399B2C2E7E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price","threshold":null,"unit":"USD","value":2816.0},"EVID-8BFB6DBCD41163D4975AC2D0":{"comparator":"","epoch_scope":"CURRENT","evidence_id":"EVID-8BFB6DBCD41163D4975AC2D0","interpretation":"Current release channel from the current configuration epoch.","metric":"warehouse_channel","observation_window":"current epoch","source":"system.compute.warehouses","source_field":"warehouse_channel","threshold":null,"unit":"value","value":"CURRENT"},"EVID-9D5FF441E9A83BA2016A7779":{"comparator":"","epoch_scope":"CURRENT","evidence_id":"EVID-9D5FF441E9A83BA2016A7779","interpretation":"No-change forward DBU cost forecast anchored to the current configuration epoch.","metric":"forward_dbu_cost_365d","observation_window":"forward_365d","source":"derived","source_field":"epoch-runrate-v2.7","threshold":null,"unit":"USD","value":3200.0},"EVID-BB70599C732C9AF2C89E8F69":{"comparator":"","epoch_scope":"CURRENT","evidence_id":"EVID-BB70599C732C9AF2C89E8F69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unavailable.","metric":"forward_aws_cost_365d","observation_window":"forward_365d","source":"derived","source_field":"aws_current_epoch_cost_model","threshold":null,"unit":"USD","value":3733.77}}</t>
        </is>
      </c>
      <c r="AV83" s="22" t="inlineStr">
        <is>
          <t>[]</t>
        </is>
      </c>
      <c r="AW83" s="22" t="inlineStr">
        <is>
          <t>[]</t>
        </is>
      </c>
      <c r="AX83" s="22" t="inlineStr">
        <is>
          <t>[]</t>
        </is>
      </c>
      <c r="AY83" s="22" t="inlineStr">
        <is>
          <t>[]</t>
        </is>
      </c>
      <c r="AZ83" s="22" t="inlineStr">
        <is>
          <t>[]</t>
        </is>
      </c>
      <c r="BA83" s="22" t="inlineStr">
        <is>
          <t>[]</t>
        </is>
      </c>
    </row>
    <row r="84" ht="32" customHeight="1">
      <c r="A84" s="14" t="inlineStr">
        <is>
          <t>PKG-B1B32F263A12954F8161595B</t>
        </is>
      </c>
      <c r="B84" s="14" t="inlineStr">
        <is>
          <t>CAND-7AD7357E0749467C6A7B878C</t>
        </is>
      </c>
      <c r="C84" s="14" t="inlineStr">
        <is>
          <t>WH-SIZE-RIGHTSIZE-001</t>
        </is>
      </c>
      <c r="D84" s="14" t="inlineStr">
        <is>
          <t>2234567890123456</t>
        </is>
      </c>
      <c r="E84" s="14" t="inlineStr">
        <is>
          <t>wh-synth-011</t>
        </is>
      </c>
      <c r="F84" s="15" t="inlineStr">
        <is>
          <t>Sandbox Sparse</t>
        </is>
      </c>
      <c r="G84" s="16" t="inlineStr">
        <is>
          <t>sandbox@databricks.example</t>
        </is>
      </c>
      <c r="H84" s="14" t="inlineStr">
        <is>
          <t>EPOCH-D2930EEA3D0AF4EFD1E12439</t>
        </is>
      </c>
      <c r="I84" s="18" t="inlineStr">
        <is>
          <t>warehouse_size</t>
        </is>
      </c>
      <c r="J84" s="18" t="inlineStr">
        <is>
          <t>NO_CHANGE</t>
        </is>
      </c>
      <c r="K84" s="15" t="inlineStr">
        <is>
          <t>COST_AND_PERFORMANCE</t>
        </is>
      </c>
      <c r="L84" s="15" t="inlineStr">
        <is>
          <t>SMALL</t>
        </is>
      </c>
      <c r="M84" s="15" t="inlineStr">
        <is>
          <t>SMALL</t>
        </is>
      </c>
      <c r="N84" s="15" t="inlineStr">
        <is>
          <t>No deterministic upsize signal and downsize safety criteria are not all satisfied.</t>
        </is>
      </c>
      <c r="O84" s="21" t="n">
        <v>0.701</v>
      </c>
      <c r="P84" s="18" t="inlineStr">
        <is>
          <t>MEDIUM</t>
        </is>
      </c>
      <c r="Q84" s="18" t="b">
        <v>1</v>
      </c>
      <c r="R84" s="16" t="inlineStr">
        <is>
          <t>USD</t>
        </is>
      </c>
      <c r="S84" s="18" t="inlineStr">
        <is>
          <t>UNAVAILABLE</t>
        </is>
      </c>
      <c r="T84" s="19" t="n">
        <v>3200</v>
      </c>
      <c r="U84" s="19" t="n">
        <v>3733.77</v>
      </c>
      <c r="V84" s="19" t="n">
        <v>6933.77</v>
      </c>
      <c r="W84" s="19" t="n">
        <v>0</v>
      </c>
      <c r="X84" s="19" t="n">
        <v>0</v>
      </c>
      <c r="Y84" s="19" t="n">
        <v>0</v>
      </c>
      <c r="Z84" s="19" t="inlineStr">
        <is>
          <t>UNAVAILABLE</t>
        </is>
      </c>
      <c r="AA84" s="19" t="inlineStr">
        <is>
          <t>UNAVAILABLE</t>
        </is>
      </c>
      <c r="AB84" s="19" t="inlineStr">
        <is>
          <t>UNAVAILABLE</t>
        </is>
      </c>
      <c r="AC84" s="19" t="inlineStr">
        <is>
          <t>UNAVAILABLE</t>
        </is>
      </c>
      <c r="AD84" s="19" t="inlineStr">
        <is>
          <t>UNAVAILABLE</t>
        </is>
      </c>
      <c r="AE84" s="19" t="inlineStr">
        <is>
          <t>UNAVAILABLE</t>
        </is>
      </c>
      <c r="AF84" s="19" t="inlineStr">
        <is>
          <t>UNAVAILABLE</t>
        </is>
      </c>
      <c r="AG84" s="19" t="inlineStr">
        <is>
          <t>UNAVAILABLE</t>
        </is>
      </c>
      <c r="AH84" s="19" t="inlineStr">
        <is>
          <t>UNAVAILABLE</t>
        </is>
      </c>
      <c r="AI84" s="18" t="b">
        <v>0</v>
      </c>
      <c r="AJ84" s="18" t="inlineStr">
        <is>
          <t>NOT_APPLIED</t>
        </is>
      </c>
      <c r="AK84" s="16" t="inlineStr">
        <is>
          <t>—</t>
        </is>
      </c>
      <c r="AL84" s="18" t="inlineStr">
        <is>
          <t>—</t>
        </is>
      </c>
      <c r="AM84" s="19" t="inlineStr">
        <is>
          <t>UNAVAILABLE</t>
        </is>
      </c>
      <c r="AN84" s="19" t="inlineStr">
        <is>
          <t>UNAVAILABLE</t>
        </is>
      </c>
      <c r="AO84" s="19" t="inlineStr">
        <is>
          <t>UNAVAILABLE</t>
        </is>
      </c>
      <c r="AP84" s="19" t="inlineStr">
        <is>
          <t>UNAVAILABLE</t>
        </is>
      </c>
      <c r="AQ84" s="18" t="inlineStr">
        <is>
          <t>—</t>
        </is>
      </c>
      <c r="AR84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84" s="22" t="inlineStr">
        <is>
          <t>{"coverage":1.0,"epoch_maturity":1.0,"sample":0.09,"signal":0.7,"stability":0.725}</t>
        </is>
      </c>
      <c r="AT84" s="22" t="inlineStr">
        <is>
          <t>["EVID-7A436410CF1C8EE2567C00A8","EVID-DF7FBF457C19FB28EF5FD820","EVID-AF2A27B54B6E2E92040B22C3","EVID-277695726D78445956FE494F","EVID-A39D869989EE20E8F0FA4661","EVID-AA062B5DFCC4DBB6962C7CA9","EVID-9094DED8046D5939494E72F6","EVID-877CBDBF73660A76F7D7B906","EVID-8945206B7EFE7B399B2C2E7E","EVID-9D5FF441E9A83BA2016A7779","EVID-BB70599C732C9AF2C89E8F69","EVID-0645324E21523AC72540EBFB"]</t>
        </is>
      </c>
      <c r="AU84" s="22" t="inlineStr">
        <is>
          <t>{"EVID-0645324E21523AC72540EBFB":{"comparator":"","epoch_scope":"CURRENT","evidence_id":"EVID-0645324E21523AC72540EBFB","interpretation":"Calendar-day coverage available to the forward cost model.","metric":"cost_history_days","observation_window":"current_epoch","source":"system.billing.usage","source_field":"usage_date","threshold":null,"unit":"days","value":122},"EVID-277695726D78445956FE494F":{"comparator":"&gt;= upsize signal","epoch_scope":"CURRENT","evidence_id":"EVID-277695726D78445956FE494F","interpretation":"Severity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epoch","source":"system.query.history","source_field":"spilled_local_bytes","threshold":1073741824,"unit":"bytes","value":0},"EVID-7A436410CF1C8EE2567C00A8":{"comparator":"","epoch_scope":"CURRENT","evidence_id":"EVID-7A436410CF1C8EE2567C00A8","interpretation":"Current warehouse size.","metric":"warehouse_size","observation_window":"current epoch","source":"system.compute.warehouses","source_field":"warehouse_size","threshold":null,"unit":"value","value":"SMALL"},"EVID-877CBDBF73660A76F7D7B906":{"comparator":"","epoch_scope":"CURRENT","evidence_id":"EVID-877CBDBF73660A76F7D7B906","interpretation":"I/O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epoch","source":"system.query.history","source_field":"read_io_cache_percent","threshold":null,"unit":"%","value":35.0},"EVID-8945206B7EFE7B399B2C2E7E":{"comparator":"","epoch_scope":"CURRENT","evidence_id":"EVID-8945206B7EFE7B399B2C2E7E","interpretation":"Observed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price","threshold":null,"unit":"USD","value":2816.0},"EVID-9094DED8046D5939494E72F6":{"comparator":"&lt;= downsize-safe","epoch_scope":"CURRENT","evidence_id":"EVID-9094DED8046D5939494E72F6","interpretation":"Extreme tail execution latency guardrail.","metric":"p99_execution_ms_30","observation_window":"last 30 days within current epoch","source":"system.query.history","source_field":"execution_duration_ms","threshold":30000,"unit":"ms","value":4000},"EVID-9D5FF441E9A83BA2016A7779":{"comparator":"","epoch_scope":"CURRENT","evidence_id":"EVID-9D5FF441E9A83BA2016A7779","interpretation":"No-change forward DBU cost forecast anchored to the current configuration epoch.","metric":"forward_dbu_cost_365d","observation_window":"forward_365d","source":"derived","source_field":"epoch-runrate-v2.7","threshold":null,"unit":"USD","value":3200.0},"EVID-A39D869989EE20E8F0FA4661":{"comparator":"&lt;= downsize-safe","epoch_scope":"CURRENT","evidence_id":"EVID-A39D869989EE20E8F0FA4661","interpretation":"Concurrency pressure during the decision window.","metric":"queued_query_pct_30","observation_window":"last 30 days within current epoch","source":"system.query.history","source_field":"waiting_at_capacity_duration_ms","threshold":0.5,"unit":"%","value":0.0},"EVID-AA062B5DFCC4DBB6962C7CA9":{"comparator":"&lt;= downsize-safe","epoch_scope":"CURRENT","evidence_id":"EVID-AA062B5DFCC4DBB6962C7CA9","interpretation":"Tail execution latency guardrail.","metric":"p95_execution_ms_30","observation_window":"last 30 days within current epoch","source":"system.query.history","source_field":"execution_duration_ms","threshold":5000,"unit":"ms","value":1600},"EVID-AF2A27B54B6E2E92040B22C3":{"comparator":"&gt;= evidence minimum for upsize","epoch_scope":"CURRENT","evidence_id":"EVID-AF2A27B54B6E2E92040B22C3","interpretation":"Queries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epoch","source":"system.query.history","source_field":"spilled_local_bytes","threshold":20,"unit":"queries","value":0},"EVID-BB70599C732C9AF2C89E8F69":{"comparator":"","epoch_scope":"CURRENT","evidence_id":"EVID-BB70599C732C9AF2C89E8F69","interpretation":"Forward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unavailable.","metric":"forward_aws_cost_365d","observation_window":"forward_365d","source":"derived","source_field":"aws_current_epoch_cost_model","threshold":null,"unit":"USD","value":3733.77},"EVID-DF7FBF457C19FB28EF5FD820":{"comparator":"&gt;= upsize signal","epoch_scope":"CURRENT","evidence_id":"EVID-DF7FBF457C19FB28EF5FD820","interpretation":"Frequency of queries spilling to local storage.","metric":"spill_query_pct_30","observation_window":"last 30 days within current epoch","source":"system.query.history","source_field":"spilled_local_bytes","threshold":2.0,"unit":"%","value":0.0}}</t>
        </is>
      </c>
      <c r="AV84" s="22" t="inlineStr">
        <is>
          <t>[{"comparator":"&gt;= upsize signal","evidence_id":"EVID-DF7FBF457C19FB28EF5FD820","metric":"spill_query_pct_30","threshold":2.0},{"comparator":"&gt;= evidence minimum for upsize","evidence_id":"EVID-AF2A27B54B6E2E92040B22C3","metric":"spill_queries_30","threshold":20},{"comparator":"&gt;= upsize signal","evidence_id":"EVID-277695726D78445956FE494F","metric":"p95_spill_bytes_when_spilled_30","threshold":1073741824},{"comparator":"&lt;= downsize-safe","evidence_id":"EVID-A39D869989EE20E8F0FA4661","metric":"queued_query_pct_30","threshold":0.5},{"comparator":"&lt;= downsize-safe","evidence_id":"EVID-AA062B5DFCC4DBB6962C7CA9","metric":"p95_execution_ms_30","threshold":5000},{"comparator":"&lt;= downsize-safe","evidence_id":"EVID-9094DED8046D5939494E72F6","metric":"p99_execution_ms_30","threshold":30000}]</t>
        </is>
      </c>
      <c r="AW84" s="22" t="inlineStr">
        <is>
          <t>[{"condition":null,"dependency_type":"KNOB","ref_id":"warehouse_channel"}]</t>
        </is>
      </c>
      <c r="AX84" s="22" t="inlineStr">
        <is>
          <t>[]</t>
        </is>
      </c>
      <c r="AY84" s="22" t="inlineStr">
        <is>
          <t>["INSUFFICIENT_STRONG_QUERY_SAMPLE"]</t>
        </is>
      </c>
      <c r="AZ84" s="22" t="inlineStr">
        <is>
          <t>[]</t>
        </is>
      </c>
      <c r="BA84" s="22" t="inlineStr">
        <is>
          <t>[]</t>
        </is>
      </c>
    </row>
    <row r="85" ht="32" customHeight="1">
      <c r="A85" s="14" t="inlineStr">
        <is>
          <t>PKG-B1B32F263A12954F8161595B</t>
        </is>
      </c>
      <c r="B85" s="14" t="inlineStr">
        <is>
          <t>CAND-4AD0C5CF56FFE443109E075C</t>
        </is>
      </c>
      <c r="C85" s="14" t="inlineStr">
        <is>
          <t>WH-MAX-CLUSTER-ASSESS-001</t>
        </is>
      </c>
      <c r="D85" s="14" t="inlineStr">
        <is>
          <t>2234567890123456</t>
        </is>
      </c>
      <c r="E85" s="14" t="inlineStr">
        <is>
          <t>wh-synth-011</t>
        </is>
      </c>
      <c r="F85" s="15" t="inlineStr">
        <is>
          <t>Sandbox Sparse</t>
        </is>
      </c>
      <c r="G85" s="16" t="inlineStr">
        <is>
          <t>sandbox@databricks.example</t>
        </is>
      </c>
      <c r="H85" s="14" t="inlineStr">
        <is>
          <t>EPOCH-D2930EEA3D0AF4EFD1E12439</t>
        </is>
      </c>
      <c r="I85" s="18" t="inlineStr">
        <is>
          <t>max_clusters</t>
        </is>
      </c>
      <c r="J85" s="18" t="inlineStr">
        <is>
          <t>NO_CHANGE</t>
        </is>
      </c>
      <c r="K85" s="15" t="inlineStr">
        <is>
          <t>PERFORMANCE</t>
        </is>
      </c>
      <c r="L85" s="15" t="n">
        <v>2</v>
      </c>
      <c r="M85" s="15" t="n">
        <v>2</v>
      </c>
      <c r="N85" s="15" t="inlineStr">
        <is>
          <t>No sustained saturation requiring an increase and no strong evidence for a lower ceiling.</t>
        </is>
      </c>
      <c r="O85" s="21" t="n">
        <v>0.701</v>
      </c>
      <c r="P85" s="18" t="inlineStr">
        <is>
          <t>MEDIUM</t>
        </is>
      </c>
      <c r="Q85" s="18" t="b">
        <v>1</v>
      </c>
      <c r="R85" s="16" t="inlineStr">
        <is>
          <t>USD</t>
        </is>
      </c>
      <c r="S85" s="18" t="inlineStr">
        <is>
          <t>NO_CHANGE</t>
        </is>
      </c>
      <c r="T85" s="19" t="n">
        <v>3200</v>
      </c>
      <c r="U85" s="19" t="n">
        <v>3733.77</v>
      </c>
      <c r="V85" s="19" t="n">
        <v>6933.77</v>
      </c>
      <c r="W85" s="19" t="n">
        <v>0</v>
      </c>
      <c r="X85" s="19" t="n">
        <v>0</v>
      </c>
      <c r="Y85" s="19" t="n">
        <v>0</v>
      </c>
      <c r="Z85" s="19" t="n">
        <v>0</v>
      </c>
      <c r="AA85" s="19" t="n">
        <v>0</v>
      </c>
      <c r="AB85" s="19" t="n">
        <v>0</v>
      </c>
      <c r="AC85" s="19" t="n">
        <v>0</v>
      </c>
      <c r="AD85" s="19" t="n">
        <v>0</v>
      </c>
      <c r="AE85" s="19" t="n">
        <v>0</v>
      </c>
      <c r="AF85" s="19" t="n">
        <v>6933.77</v>
      </c>
      <c r="AG85" s="19" t="n">
        <v>6933.77</v>
      </c>
      <c r="AH85" s="19" t="n">
        <v>6933.77</v>
      </c>
      <c r="AI85" s="18" t="b">
        <v>0</v>
      </c>
      <c r="AJ85" s="18" t="inlineStr">
        <is>
          <t>NOT_APPLIED</t>
        </is>
      </c>
      <c r="AK85" s="16" t="inlineStr">
        <is>
          <t>—</t>
        </is>
      </c>
      <c r="AL85" s="18" t="inlineStr">
        <is>
          <t>—</t>
        </is>
      </c>
      <c r="AM85" s="19" t="inlineStr">
        <is>
          <t>UNAVAILABLE</t>
        </is>
      </c>
      <c r="AN85" s="19" t="inlineStr">
        <is>
          <t>UNAVAILABLE</t>
        </is>
      </c>
      <c r="AO85" s="19" t="inlineStr">
        <is>
          <t>UNAVAILABLE</t>
        </is>
      </c>
      <c r="AP85" s="19" t="inlineStr">
        <is>
          <t>UNAVAILABLE</t>
        </is>
      </c>
      <c r="AQ85" s="18" t="inlineStr">
        <is>
          <t>—</t>
        </is>
      </c>
      <c r="AR85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85" s="22" t="inlineStr">
        <is>
          <t>{"coverage":1.0,"epoch_maturity":1.0,"sample":0.09,"signal":0.7,"stability":0.725}</t>
        </is>
      </c>
      <c r="AT85" s="22" t="inlineStr">
        <is>
          <t>["EVID-6D0F865829FDA770BA2D1F50","EVID-195F46F60FABA88715E01BF8","EVID-82F8B6438164A878220C92CF","EVID-93044B07330628C211B83BB0","EVID-CF1D42DA66B6EDAFCB6EBB2A","EVID-F289972C47C0295FAC5F5901","EVID-8945206B7EFE7B399B2C2E7E","EVID-9D5FF441E9A83BA2016A7779","EVID-BB70599C732C9AF2C89E8F69","EVID-0645324E21523AC72540EBFB"]</t>
        </is>
      </c>
      <c r="AU85" s="22" t="inlineStr">
        <is>
          <t>{"EVID-0645324E21523AC72540EBFB":{"comparator":"","epoch_scope":"CURRENT","evidence_id":"EVID-0645324E21523AC72540EBFB","interpretation":"Calendar-day coverage available to the forward cost model.","metric":"cost_history_days","observation_window":"current_epoch","source":"system.billing.usage","source_field":"usage_date","threshold":null,"unit":"days","value":122},"EVID-195F46F60FABA88715E01BF8":{"comparator":"","epoch_scope":"CURRENT","evidence_id":"EVID-195F46F60FABA88715E01BF8","interpretation":"Highest observed scale level.","metric":"max_observed_clusters","observation_window":"current epoch","source":"system.compute.warehouse_events","source_field":"cluster_count","threshold":null,"unit":"clusters","value":1},"EVID-6D0F865829FDA770BA2D1F50":{"comparator":"","epoch_scope":"CURRENT","evidence_id":"EVID-6D0F865829FDA770BA2D1F50","interpretation":"Configured concurrency ceiling.","metric":"max_clusters","observation_window":"current epoch","source":"system.compute.warehouses","source_field":"max_clusters","threshold":null,"unit":"value","value":2},"EVID-82F8B6438164A878220C92CF":{"comparator":"&lt;= reduce-safe","epoch_scope":"CURRENT","evidence_id":"EVID-82F8B6438164A878220C92CF","interpretation":"Fraction of running time at configured maximum.","metric":"time_at_max_pct","observation_window":"current epoch","source":"system.compute.warehouse_events","source_field":"cluster_count","threshold":1.0,"unit":"%","value":0.0},"EVID-8945206B7EFE7B399B2C2E7E":{"comparator":"","epoch_scope":"CURRENT","evidence_id":"EVID-8945206B7EFE7B399B2C2E7E","interpretation":"Observed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price","threshold":null,"unit":"USD","value":2816.0},"EVID-93044B07330628C211B83BB0":{"comparator":"&gt;= increase signal","epoch_scope":"CURRENT","evidence_id":"EVID-93044B07330628C211B83BB0","interpretation":"Frequency of capacity queueing.","metric":"queued_query_pct_30","observation_window":"last 30 days within current epoch","source":"system.query.history","source_field":"waiting_at_capacity_duration_ms","threshold":5.0,"unit":"%","value":0.0},"EVID-9D5FF441E9A83BA2016A7779":{"comparator":"","epoch_scope":"CURRENT","evidence_id":"EVID-9D5FF441E9A83BA2016A7779","interpretation":"No-change forward DBU cost forecast anchored to the current configuration epoch.","metric":"forward_dbu_cost_365d","observation_window":"forward_365d","source":"derived","source_field":"epoch-runrate-v2.7","threshold":null,"unit":"USD","value":3200.0},"EVID-BB70599C732C9AF2C89E8F69":{"comparator":"","epoch_scope":"CURRENT","evidence_id":"EVID-BB70599C732C9AF2C89E8F69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unavailable.","metric":"forward_aws_cost_365d","observation_window":"forward_365d","source":"derived","source_field":"aws_current_epoch_cost_model","threshold":null,"unit":"USD","value":3733.77},"EVID-CF1D42DA66B6EDAFCB6EBB2A":{"comparator":"&gt;= evidence minimum for increase","epoch_scope":"CURRENT","evidence_id":"EVID-CF1D42DA66B6EDAFCB6EBB2A","interpretation":"Queries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epoch","source":"system.query.history","source_field":"waiting_at_capacity_duration_ms","threshold":20,"unit":"queries","value":0},"EVID-F289972C47C0295FAC5F5901":{"comparator":"&gt;= increase signal","epoch_scope":"CURRENT","evidence_id":"EVID-F289972C47C0295FAC5F5901","interpretation":"Severity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epoch","source":"system.query.history","source_field":"waiting_at_capacity_duration_ms","threshold":30000,"unit":"ms","value":0}}</t>
        </is>
      </c>
      <c r="AV85" s="22" t="inlineStr">
        <is>
          <t>[{"comparator":"&lt;= reduce-safe","evidence_id":"EVID-82F8B6438164A878220C92CF","metric":"time_at_max_pct","threshold":1.0},{"comparator":"&gt;= increase signal","evidence_id":"EVID-93044B07330628C211B83BB0","metric":"queued_query_pct_30","threshold":5.0},{"comparator":"&gt;= evidence minimum for increase","evidence_id":"EVID-CF1D42DA66B6EDAFCB6EBB2A","metric":"queued_queries_30","threshold":20},{"comparator":"&gt;= increase signal","evidence_id":"EVID-F289972C47C0295FAC5F5901","metric":"p95_wait_capacity_ms_when_queued_30","threshold":30000}]</t>
        </is>
      </c>
      <c r="AW85" s="22" t="inlineStr">
        <is>
          <t>[{"condition":null,"dependency_type":"KNOB","ref_id":"warehouse_size"}]</t>
        </is>
      </c>
      <c r="AX85" s="22" t="inlineStr">
        <is>
          <t>[]</t>
        </is>
      </c>
      <c r="AY85" s="22" t="inlineStr">
        <is>
          <t>[]</t>
        </is>
      </c>
      <c r="AZ85" s="22" t="inlineStr">
        <is>
          <t>[]</t>
        </is>
      </c>
      <c r="BA85" s="22" t="inlineStr">
        <is>
          <t>[]</t>
        </is>
      </c>
    </row>
    <row r="86" ht="32" customHeight="1">
      <c r="A86" s="14" t="inlineStr">
        <is>
          <t>PKG-B1B32F263A12954F8161595B</t>
        </is>
      </c>
      <c r="B86" s="14" t="inlineStr">
        <is>
          <t>CAND-49A88561475837189D75A95B</t>
        </is>
      </c>
      <c r="C86" s="14" t="inlineStr">
        <is>
          <t>WH-MIN-CLUSTER-ASSESS-001</t>
        </is>
      </c>
      <c r="D86" s="14" t="inlineStr">
        <is>
          <t>2234567890123456</t>
        </is>
      </c>
      <c r="E86" s="14" t="inlineStr">
        <is>
          <t>wh-synth-011</t>
        </is>
      </c>
      <c r="F86" s="15" t="inlineStr">
        <is>
          <t>Sandbox Sparse</t>
        </is>
      </c>
      <c r="G86" s="16" t="inlineStr">
        <is>
          <t>sandbox@databricks.example</t>
        </is>
      </c>
      <c r="H86" s="14" t="inlineStr">
        <is>
          <t>EPOCH-D2930EEA3D0AF4EFD1E12439</t>
        </is>
      </c>
      <c r="I86" s="18" t="inlineStr">
        <is>
          <t>min_clusters</t>
        </is>
      </c>
      <c r="J86" s="18" t="inlineStr">
        <is>
          <t>NO_CHANGE</t>
        </is>
      </c>
      <c r="K86" s="15" t="inlineStr">
        <is>
          <t>COST</t>
        </is>
      </c>
      <c r="L86" s="15" t="n">
        <v>1</v>
      </c>
      <c r="M86" s="15" t="n">
        <v>1</v>
      </c>
      <c r="N86" s="15" t="inlineStr">
        <is>
          <t>Minimum is already 1.</t>
        </is>
      </c>
      <c r="O86" s="21" t="n">
        <v>0.701</v>
      </c>
      <c r="P86" s="18" t="inlineStr">
        <is>
          <t>MEDIUM</t>
        </is>
      </c>
      <c r="Q86" s="18" t="b">
        <v>1</v>
      </c>
      <c r="R86" s="16" t="inlineStr">
        <is>
          <t>USD</t>
        </is>
      </c>
      <c r="S86" s="18" t="inlineStr">
        <is>
          <t>NO_CHANGE</t>
        </is>
      </c>
      <c r="T86" s="19" t="n">
        <v>3200</v>
      </c>
      <c r="U86" s="19" t="n">
        <v>3733.77</v>
      </c>
      <c r="V86" s="19" t="n">
        <v>6933.77</v>
      </c>
      <c r="W86" s="19" t="n">
        <v>0</v>
      </c>
      <c r="X86" s="19" t="n">
        <v>0</v>
      </c>
      <c r="Y86" s="19" t="n">
        <v>0</v>
      </c>
      <c r="Z86" s="19" t="n">
        <v>0</v>
      </c>
      <c r="AA86" s="19" t="n">
        <v>0</v>
      </c>
      <c r="AB86" s="19" t="n">
        <v>0</v>
      </c>
      <c r="AC86" s="19" t="n">
        <v>0</v>
      </c>
      <c r="AD86" s="19" t="n">
        <v>0</v>
      </c>
      <c r="AE86" s="19" t="n">
        <v>0</v>
      </c>
      <c r="AF86" s="19" t="n">
        <v>6933.77</v>
      </c>
      <c r="AG86" s="19" t="n">
        <v>6933.77</v>
      </c>
      <c r="AH86" s="19" t="n">
        <v>6933.77</v>
      </c>
      <c r="AI86" s="18" t="b">
        <v>0</v>
      </c>
      <c r="AJ86" s="18" t="inlineStr">
        <is>
          <t>NOT_APPLIED</t>
        </is>
      </c>
      <c r="AK86" s="16" t="inlineStr">
        <is>
          <t>—</t>
        </is>
      </c>
      <c r="AL86" s="18" t="inlineStr">
        <is>
          <t>—</t>
        </is>
      </c>
      <c r="AM86" s="19" t="inlineStr">
        <is>
          <t>UNAVAILABLE</t>
        </is>
      </c>
      <c r="AN86" s="19" t="inlineStr">
        <is>
          <t>UNAVAILABLE</t>
        </is>
      </c>
      <c r="AO86" s="19" t="inlineStr">
        <is>
          <t>UNAVAILABLE</t>
        </is>
      </c>
      <c r="AP86" s="19" t="inlineStr">
        <is>
          <t>UNAVAILABLE</t>
        </is>
      </c>
      <c r="AQ86" s="18" t="inlineStr">
        <is>
          <t>—</t>
        </is>
      </c>
      <c r="AR86" s="15" t="inlineStr">
        <is>
          <t>time_at_min_pct &gt;= reduction signal 25.0; queued_query_pct_30 &lt;= safe 0.5; p95_wait_capacity_ms_when_queued_30 &lt;= safe 5000; time_at_max_pct &gt;= blocker 20.0</t>
        </is>
      </c>
      <c r="AS86" s="22" t="inlineStr">
        <is>
          <t>{"coverage":1.0,"epoch_maturity":1.0,"sample":0.09,"signal":0.7,"stability":0.725}</t>
        </is>
      </c>
      <c r="AT86" s="22" t="inlineStr">
        <is>
          <t>["EVID-90E0282E95C7A75CCA70207C","EVID-9C5BA1A542982FAA1650BA7C","EVID-2005A26A4E686F61F138D184","EVID-ED017CC07FEB8357DD377236","EVID-48B5752A7517C832C6F13F16","EVID-8945206B7EFE7B399B2C2E7E","EVID-9D5FF441E9A83BA2016A7779","EVID-BB70599C732C9AF2C89E8F69","EVID-0645324E21523AC72540EBFB"]</t>
        </is>
      </c>
      <c r="AU86" s="22" t="inlineStr">
        <is>
          <t>{"EVID-0645324E21523AC72540EBFB":{"comparator":"","epoch_scope":"CURRENT","evidence_id":"EVID-0645324E21523AC72540EBFB","interpretation":"Calendar-day coverage available to the forward cost model.","metric":"cost_history_days","observation_window":"current_epoch","source":"system.billing.usage","source_field":"usage_date","threshold":null,"unit":"days","value":122},"EVID-2005A26A4E686F61F138D184":{"comparator":"&lt;= safe","epoch_scope":"CURRENT","evidence_id":"EVID-2005A26A4E686F61F138D184","interpretation":"Queue guardrail before reducing baseline capacity.","metric":"queued_query_pct_30","observation_window":"last 30 days within current epoch","source":"system.query.history","source_field":"waiting_at_capacity_duration_ms","threshold":0.5,"unit":"%","value":0.0},"EVID-48B5752A7517C832C6F13F16":{"comparator":"&gt;= blocker","epoch_scope":"CURRENT","evidence_id":"EVID-48B5752A7517C832C6F13F16","interpretation":"Sustained scale pressure blocks minimum reduction.","metric":"time_at_max_pct","observation_window":"current epoch","source":"system.compute.warehouse_events","source_field":"cluster_count","threshold":20.0,"unit":"%","value":0.0},"EVID-8945206B7EFE7B399B2C2E7E":{"comparator":"","epoch_scope":"CURRENT","evidence_id":"EVID-8945206B7EFE7B399B2C2E7E","interpretation":"Observed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price","threshold":null,"unit":"USD","value":2816.0},"EVID-90E0282E95C7A75CCA70207C":{"comparator":"","epoch_scope":"CURRENT","evidence_id":"EVID-90E0282E95C7A75CCA70207C","interpretation":"Configured minimum scale.","metric":"min_clusters","observation_window":"current epoch","source":"system.compute.warehouses","source_field":"min_clusters","threshold":null,"unit":"value","value":1},"EVID-9C5BA1A542982FAA1650BA7C":{"comparator":"&gt;= reduction signal","epoch_scope":"CURRENT","evidence_id":"EVID-9C5BA1A542982FAA1650BA7C","interpretation":"How often the warehouse sits at its minimum.","metric":"time_at_min_pct","observation_window":"current epoch","source":"system.compute.warehouse_events","source_field":"cluster_count","threshold":25.0,"unit":"%","value":45.0},"EVID-9D5FF441E9A83BA2016A7779":{"comparator":"","epoch_scope":"CURRENT","evidence_id":"EVID-9D5FF441E9A83BA2016A7779","interpretation":"No-change forward DBU cost forecast anchored to the current configuration epoch.","metric":"forward_dbu_cost_365d","observation_window":"forward_365d","source":"derived","source_field":"epoch-runrate-v2.7","threshold":null,"unit":"USD","value":3200.0},"EVID-BB70599C732C9AF2C89E8F69":{"comparator":"","epoch_scope":"CURRENT","evidence_id":"EVID-BB70599C732C9AF2C89E8F69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unavailable.","metric":"forward_aws_cost_365d","observation_window":"forward_365d","source":"derived","source_field":"aws_current_epoch_cost_model","threshold":null,"unit":"USD","value":3733.77},"EVID-ED017CC07FEB8357DD377236":{"comparator":"&lt;= safe","epoch_scope":"CURRENT","evidence_id":"EVID-ED017CC07FEB8357DD377236","interpretation":"Queue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epoch","source":"system.query.history","source_field":"waiting_at_capacity_duration_ms","threshold":5000,"unit":"ms","value":0}}</t>
        </is>
      </c>
      <c r="AV86" s="22" t="inlineStr">
        <is>
          <t>[{"comparator":"&gt;= reduction signal","evidence_id":"EVID-9C5BA1A542982FAA1650BA7C","metric":"time_at_min_pct","threshold":25.0},{"comparator":"&lt;= safe","evidence_id":"EVID-2005A26A4E686F61F138D184","metric":"queued_query_pct_30","threshold":0.5},{"comparator":"&lt;= safe","evidence_id":"EVID-ED017CC07FEB8357DD377236","metric":"p95_wait_capacity_ms_when_queued_30","threshold":5000},{"comparator":"&gt;= blocker","evidence_id":"EVID-48B5752A7517C832C6F13F16","metric":"time_at_max_pct","threshold":20.0}]</t>
        </is>
      </c>
      <c r="AW86" s="22" t="inlineStr">
        <is>
          <t>[{"condition":null,"dependency_type":"KNOB","ref_id":"warehouse_size"},{"condition":null,"dependency_type":"KNOB","ref_id":"max_clusters"}]</t>
        </is>
      </c>
      <c r="AX86" s="22" t="inlineStr">
        <is>
          <t>[]</t>
        </is>
      </c>
      <c r="AY86" s="22" t="inlineStr">
        <is>
          <t>[]</t>
        </is>
      </c>
      <c r="AZ86" s="22" t="inlineStr">
        <is>
          <t>[]</t>
        </is>
      </c>
      <c r="BA86" s="22" t="inlineStr">
        <is>
          <t>[]</t>
        </is>
      </c>
    </row>
    <row r="87" ht="32" customHeight="1">
      <c r="A87" s="14" t="inlineStr">
        <is>
          <t>PKG-B1B32F263A12954F8161595B</t>
        </is>
      </c>
      <c r="B87" s="14" t="inlineStr">
        <is>
          <t>CAND-CBCF6ED4CDF8B9664828018A</t>
        </is>
      </c>
      <c r="C87" s="14" t="inlineStr">
        <is>
          <t>WH-AUTOSTOP-REDUCE-001</t>
        </is>
      </c>
      <c r="D87" s="14" t="inlineStr">
        <is>
          <t>2234567890123456</t>
        </is>
      </c>
      <c r="E87" s="14" t="inlineStr">
        <is>
          <t>wh-synth-011</t>
        </is>
      </c>
      <c r="F87" s="15" t="inlineStr">
        <is>
          <t>Sandbox Sparse</t>
        </is>
      </c>
      <c r="G87" s="16" t="inlineStr">
        <is>
          <t>sandbox@databricks.example</t>
        </is>
      </c>
      <c r="H87" s="14" t="inlineStr">
        <is>
          <t>EPOCH-D2930EEA3D0AF4EFD1E12439</t>
        </is>
      </c>
      <c r="I87" s="18" t="inlineStr">
        <is>
          <t>auto_stop_minutes</t>
        </is>
      </c>
      <c r="J87" s="18" t="inlineStr">
        <is>
          <t>BLOCKED</t>
        </is>
      </c>
      <c r="K87" s="15" t="inlineStr">
        <is>
          <t>COST</t>
        </is>
      </c>
      <c r="L87" s="15" t="n">
        <v>120</v>
      </c>
      <c r="M87" s="15" t="n">
        <v>15</v>
      </c>
      <c r="N87" s="15" t="inlineStr">
        <is>
          <t>A lower target exists but guardrails block automatic recommendation.</t>
        </is>
      </c>
      <c r="O87" s="21" t="n">
        <v>0.701</v>
      </c>
      <c r="P87" s="18" t="inlineStr">
        <is>
          <t>MEDIUM</t>
        </is>
      </c>
      <c r="Q87" s="18" t="b">
        <v>0</v>
      </c>
      <c r="R87" s="16" t="inlineStr">
        <is>
          <t>USD</t>
        </is>
      </c>
      <c r="S87" s="18" t="inlineStr">
        <is>
          <t>UNAVAILABLE</t>
        </is>
      </c>
      <c r="T87" s="19" t="n">
        <v>3200</v>
      </c>
      <c r="U87" s="19" t="n">
        <v>3733.77</v>
      </c>
      <c r="V87" s="19" t="n">
        <v>6933.77</v>
      </c>
      <c r="W87" s="19" t="inlineStr">
        <is>
          <t>UNAVAILABLE</t>
        </is>
      </c>
      <c r="X87" s="19" t="inlineStr">
        <is>
          <t>UNAVAILABLE</t>
        </is>
      </c>
      <c r="Y87" s="19" t="inlineStr">
        <is>
          <t>UNAVAILABLE</t>
        </is>
      </c>
      <c r="Z87" s="19" t="inlineStr">
        <is>
          <t>UNAVAILABLE</t>
        </is>
      </c>
      <c r="AA87" s="19" t="inlineStr">
        <is>
          <t>UNAVAILABLE</t>
        </is>
      </c>
      <c r="AB87" s="19" t="inlineStr">
        <is>
          <t>UNAVAILABLE</t>
        </is>
      </c>
      <c r="AC87" s="19" t="inlineStr">
        <is>
          <t>UNAVAILABLE</t>
        </is>
      </c>
      <c r="AD87" s="19" t="inlineStr">
        <is>
          <t>UNAVAILABLE</t>
        </is>
      </c>
      <c r="AE87" s="19" t="inlineStr">
        <is>
          <t>UNAVAILABLE</t>
        </is>
      </c>
      <c r="AF87" s="19" t="inlineStr">
        <is>
          <t>UNAVAILABLE</t>
        </is>
      </c>
      <c r="AG87" s="19" t="inlineStr">
        <is>
          <t>UNAVAILABLE</t>
        </is>
      </c>
      <c r="AH87" s="19" t="inlineStr">
        <is>
          <t>UNAVAILABLE</t>
        </is>
      </c>
      <c r="AI87" s="18" t="b">
        <v>0</v>
      </c>
      <c r="AJ87" s="18" t="inlineStr">
        <is>
          <t>NOT_APPLIED</t>
        </is>
      </c>
      <c r="AK87" s="16" t="inlineStr">
        <is>
          <t>—</t>
        </is>
      </c>
      <c r="AL87" s="18" t="inlineStr">
        <is>
          <t>—</t>
        </is>
      </c>
      <c r="AM87" s="19" t="inlineStr">
        <is>
          <t>UNAVAILABLE</t>
        </is>
      </c>
      <c r="AN87" s="19" t="inlineStr">
        <is>
          <t>UNAVAILABLE</t>
        </is>
      </c>
      <c r="AO87" s="19" t="inlineStr">
        <is>
          <t>UNAVAILABLE</t>
        </is>
      </c>
      <c r="AP87" s="19" t="inlineStr">
        <is>
          <t>UNAVAILABLE</t>
        </is>
      </c>
      <c r="AQ87" s="18" t="inlineStr">
        <is>
          <t>—</t>
        </is>
      </c>
      <c r="AR87" s="15" t="inlineStr">
        <is>
          <t>auto_stop_minutes &gt; target 15; idle_gap_count &gt;= evidence minimum 30; cluster_minutes &gt;= evidence minimum 1.0; p95_wait_compute_ms_when_waited_30 &gt;= cold-start blocker 60000; starts_per_active_day_30 &gt;= cold-start blocker 0.5</t>
        </is>
      </c>
      <c r="AS87" s="22" t="inlineStr">
        <is>
          <t>{"coverage":1.0,"epoch_maturity":1.0,"sample":0.09,"signal":0.7,"stability":0.725}</t>
        </is>
      </c>
      <c r="AT87" s="22" t="inlineStr">
        <is>
          <t>["EVID-C0FDA37896D08BB3EC313B88","EVID-0BA05DFEDB55A3C639CBDE3C","EVID-3BE897690A2172D19236EC85","EVID-3DCBC6489AC48EDCE794F393","EVID-D3C92F624741AE9991AFF968","EVID-F0FEE41C0A094A7E4BC8355D","EVID-81BB2260DF67AC5CE9D9AEF5","EVID-3757B07B85F990B0A9264097","EVID-8945206B7EFE7B399B2C2E7E","EVID-9D5FF441E9A83BA2016A7779","EVID-BB70599C732C9AF2C89E8F69","EVID-0645324E21523AC72540EBFB"]</t>
        </is>
      </c>
      <c r="AU87" s="22" t="inlineStr">
        <is>
          <t>{"EVID-0645324E21523AC72540EBFB":{"comparator":"","epoch_scope":"CURRENT","evidence_id":"EVID-0645324E21523AC72540EBFB","interpretation":"Calendar-day coverage available to the forward cost model.","metric":"cost_history_days","observation_window":"current_epoch","source":"system.billing.usage","source_field":"usage_date","threshold":null,"unit":"days","value":122},"EVID-0BA05DFEDB55A3C639CBDE3C":{"comparator":"","epoch_scope":"CURRENT","evidence_id":"EVID-0BA05DFEDB55A3C639CBDE3C","interpretation":"Activity density selects the auto-stop target.","metric":"queries_per_active_day_30","observation_window":"last 30 days within current epoch","source":"system.query.history","source_field":"start_time","threshold":null,"unit":"queries/day","value":11.25},"EVID-3757B07B85F990B0A9264097":{"comparator":"","epoch_scope":"CURRENT","evidence_id":"EVID-3757B07B85F990B0A9264097","interpretation":"Estimated additional off-time at the candidate target.","metric":"estimated_additional_off_minutes","observation_window":"current epoch","source":"system.query.history","source_field":"inter-query gap","threshold":null,"unit":"minutes","value":10120.0},"EVID-3BE897690A2172D19236EC85":{"comparator":"&gt;= evidence minimum","epoch_scope":"CURRENT","evidence_id":"EVID-3BE897690A2172D19236EC85","interpretation":"Non-overlapping inter-query gap sample supporting the auto-stop counterfactual.","metric":"idle_gap_count","observation_window":"current epoch","source":"system.query.history","source_field":"start_time/end_time","threshold":30,"unit":"gaps","value":5},"EVID-3DCBC6489AC48EDCE794F393":{"comparator":"&gt;= evidence minimum","epoch_scope":"CURRENT","evidence_id":"EVID-3DCBC6489AC48EDCE794F393","interpretation":"Observed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epoch","source":"system.compute.warehouse_events","source_field":"cluster_count/event_time","threshold":1.0,"unit":"cluster-minutes","value":20000.0},"EVID-81BB2260DF67AC5CE9D9AEF5":{"comparator":"&gt;= cold-start blocker","epoch_scope":"CURRENT","evidence_id":"EVID-81BB2260DF67AC5CE9D9AEF5","interpretation":"Restart frequency guardrail.","metric":"starts_per_active_day_30","observation_window":"last 30 days within current epoch","source":"system.compute.warehouse_events","source_field":"event_type=STARTING","threshold":0.5,"unit":"starts/day","value":0.5},"EVID-8945206B7EFE7B399B2C2E7E":{"comparator":"","epoch_scope":"CURRENT","evidence_id":"EVID-8945206B7EFE7B399B2C2E7E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price","threshold":null,"unit":"USD","value":2816.0},"EVID-9D5FF441E9A83BA2016A7779":{"comparator":"","epoch_scope":"CURRENT","evidence_id":"EVID-9D5FF441E9A83BA2016A7779","interpretation":"No-change forward DBU cost forecast anchored to the current configuration epoch.","metric":"forward_dbu_cost_365d","observation_window":"forward_365d","source":"derived","source_field":"epoch-runrate-v2.7","threshold":null,"unit":"USD","value":3200.0},"EVID-BB70599C732C9AF2C89E8F69":{"comparator":"","epoch_scope":"CURRENT","evidence_id":"EVID-BB70599C732C9AF2C89E8F69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unavailable.","metric":"forward_aws_cost_365d","observation_window":"forward_365d","source":"derived","source_field":"aws_current_epoch_cost_model","threshold":null,"unit":"USD","value":3733.77},"EVID-C0FDA37896D08BB3EC313B88":{"comparator":"&gt; target","epoch_scope":"CURRENT","evidence_id":"EVID-C0FDA37896D08BB3EC313B88","interpretation":"Current idle termination setting versus deterministic policy target.","metric":"auto_stop_minutes","observation_window":"current epoch","source":"system.compute.warehouses","source_field":"auto_stop_minutes","threshold":15,"unit":"minutes","value":120},"EVID-D3C92F624741AE9991AFF968":{"comparator":"","epoch_scope":"CURRENT","evidence_id":"EVID-D3C92F624741AE9991AFF968","interpretation":"Queries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epoch","source":"system.query.history","source_field":"waiting_for_compute_duration_ms","threshold":null,"unit":"queries","value":2},"EVID-F0FEE41C0A094A7E4BC8355D":{"comparator":"&gt;= cold-start blocker","epoch_scope":"CURRENT","evidence_id":"EVID-F0FEE41C0A094A7E4BC8355D","interpretation":"Cold-start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epoch","source":"system.query.history","source_field":"waiting_for_compute_duration_ms","threshold":60000,"unit":"ms","value":3500}}</t>
        </is>
      </c>
      <c r="AV87" s="22" t="inlineStr">
        <is>
          <t>[{"comparator":"&gt; target","evidence_id":"EVID-C0FDA37896D08BB3EC313B88","metric":"auto_stop_minutes","threshold":15},{"comparator":"&gt;= evidence minimum","evidence_id":"EVID-3BE897690A2172D19236EC85","metric":"idle_gap_count","threshold":30},{"comparator":"&gt;= evidence minimum","evidence_id":"EVID-3DCBC6489AC48EDCE794F393","metric":"cluster_minutes","threshold":1.0},{"comparator":"&gt;= cold-start blocker","evidence_id":"EVID-F0FEE41C0A094A7E4BC8355D","metric":"p95_wait_compute_ms_when_waited_30","threshold":60000},{"comparator":"&gt;= cold-start blocker","evidence_id":"EVID-81BB2260DF67AC5CE9D9AEF5","metric":"starts_per_active_day_30","threshold":0.5}]</t>
        </is>
      </c>
      <c r="AW87" s="22" t="inlineStr">
        <is>
          <t>[{"condition":null,"dependency_type":"KNOB","ref_id":"min_clusters"}]</t>
        </is>
      </c>
      <c r="AX87" s="22" t="inlineStr">
        <is>
          <t>[]</t>
        </is>
      </c>
      <c r="AY87" s="22" t="inlineStr">
        <is>
          <t>["INSUFFICIENT_QUERY_SAMPLE","INSUFFICIENT_IDLE_GAP_SAMPLE"]</t>
        </is>
      </c>
      <c r="AZ87" s="22" t="inlineStr">
        <is>
          <t>[]</t>
        </is>
      </c>
      <c r="BA87" s="22" t="inlineStr">
        <is>
          <t>[]</t>
        </is>
      </c>
    </row>
    <row r="88" ht="32" customHeight="1">
      <c r="A88" s="14" t="inlineStr">
        <is>
          <t>PKG-B1B32F263A12954F8161595B</t>
        </is>
      </c>
      <c r="B88" s="14" t="inlineStr">
        <is>
          <t>CAND-0CF01F172DB34D3AE5983193</t>
        </is>
      </c>
      <c r="C88" s="14" t="inlineStr">
        <is>
          <t>WH-SERVERLESS-MIGRATE-001</t>
        </is>
      </c>
      <c r="D88" s="14" t="inlineStr">
        <is>
          <t>2234567890123456</t>
        </is>
      </c>
      <c r="E88" s="14" t="inlineStr">
        <is>
          <t>wh-synth-011</t>
        </is>
      </c>
      <c r="F88" s="15" t="inlineStr">
        <is>
          <t>Sandbox Sparse</t>
        </is>
      </c>
      <c r="G88" s="16" t="inlineStr">
        <is>
          <t>sandbox@databricks.example</t>
        </is>
      </c>
      <c r="H88" s="14" t="inlineStr">
        <is>
          <t>EPOCH-D2930EEA3D0AF4EFD1E12439</t>
        </is>
      </c>
      <c r="I88" s="18" t="inlineStr">
        <is>
          <t>warehouse_type</t>
        </is>
      </c>
      <c r="J88" s="18" t="inlineStr">
        <is>
          <t>TEST_REQUIRED</t>
        </is>
      </c>
      <c r="K88" s="15" t="inlineStr">
        <is>
          <t>MIGRATION, COST_AND_PERFORMANCE, OPERATIONS</t>
        </is>
      </c>
      <c r="L88" s="15" t="inlineStr">
        <is>
          <t>PRO</t>
        </is>
      </c>
      <c r="M88" s="15" t="inlineStr">
        <is>
          <t>SERVERLESS</t>
        </is>
      </c>
      <c r="N88" s="15" t="inlineStr">
        <is>
          <t>Serverless is evaluated as a separate migration experiment with a pre-canary DBU/AWS counterfactual and deterministic compatibility gate.</t>
        </is>
      </c>
      <c r="O88" s="21" t="n">
        <v>0.731</v>
      </c>
      <c r="P88" s="18" t="inlineStr">
        <is>
          <t>MEDIUM</t>
        </is>
      </c>
      <c r="Q88" s="18" t="b">
        <v>1</v>
      </c>
      <c r="R88" s="16" t="inlineStr">
        <is>
          <t>USD</t>
        </is>
      </c>
      <c r="S88" s="18" t="inlineStr">
        <is>
          <t>COST_INCREASE</t>
        </is>
      </c>
      <c r="T88" s="19" t="n">
        <v>3200</v>
      </c>
      <c r="U88" s="19" t="n">
        <v>3733.77</v>
      </c>
      <c r="V88" s="19" t="n">
        <v>6933.77</v>
      </c>
      <c r="W88" s="19" t="n">
        <v>-5177.05</v>
      </c>
      <c r="X88" s="19" t="n">
        <v>-5177.05</v>
      </c>
      <c r="Y88" s="19" t="n">
        <v>-5177.05</v>
      </c>
      <c r="Z88" s="19" t="n">
        <v>3733.77</v>
      </c>
      <c r="AA88" s="19" t="n">
        <v>3733.77</v>
      </c>
      <c r="AB88" s="19" t="n">
        <v>3733.77</v>
      </c>
      <c r="AC88" s="19" t="n">
        <v>-1443.28</v>
      </c>
      <c r="AD88" s="19" t="n">
        <v>-1443.28</v>
      </c>
      <c r="AE88" s="19" t="n">
        <v>-1443.28</v>
      </c>
      <c r="AF88" s="19" t="n">
        <v>8377.049999999999</v>
      </c>
      <c r="AG88" s="19" t="n">
        <v>8377.049999999999</v>
      </c>
      <c r="AH88" s="19" t="n">
        <v>8377.049999999999</v>
      </c>
      <c r="AI88" s="18" t="b">
        <v>0</v>
      </c>
      <c r="AJ88" s="18" t="inlineStr">
        <is>
          <t>NOT_APPLIED</t>
        </is>
      </c>
      <c r="AK88" s="16" t="inlineStr">
        <is>
          <t>—</t>
        </is>
      </c>
      <c r="AL88" s="18" t="inlineStr">
        <is>
          <t>—</t>
        </is>
      </c>
      <c r="AM88" s="19" t="inlineStr">
        <is>
          <t>UNAVAILABLE</t>
        </is>
      </c>
      <c r="AN88" s="19" t="inlineStr">
        <is>
          <t>UNAVAILABLE</t>
        </is>
      </c>
      <c r="AO88" s="19" t="inlineStr">
        <is>
          <t>UNAVAILABLE</t>
        </is>
      </c>
      <c r="AP88" s="19" t="inlineStr">
        <is>
          <t>UNAVAILABLE</t>
        </is>
      </c>
      <c r="AQ88" s="18" t="inlineStr">
        <is>
          <t>—</t>
        </is>
      </c>
      <c r="AR88" s="15" t="inlineStr">
        <is>
          <t>No numeric threshold</t>
        </is>
      </c>
      <c r="AS88" s="22" t="inlineStr">
        <is>
          <t>{"coverage":1.0,"epoch_maturity":1.0,"sample":0.09,"signal":1.0,"stability":0.725}</t>
        </is>
      </c>
      <c r="AT88" s="22" t="inlineStr">
        <is>
          <t>["EVID-7C1343FE613D1C19015BD7B1","EVID-F306F90358EC1E71F324BC0D","EVID-803FE025612A1F6D4A58355B","EVID-5B91767FD693F50EFD0576F7","EVID-4B624F4A3B3E05F869CEBB81","EVID-376B961B29D12F53A747A949","EVID-48AD911004D78BC5B629A2CD","EVID-4E79642ADEB6BD83CF237522","EVID-86F8174A6943E8D4F2C7FAFE","EVID-2717985C1ABCB4F82F0C3207","EVID-60929AEB71973AE52157CA34","EVID-473C88A56036CF4722376661","EVID-2D1C834F33B47D7C597813BC","EVID-8945206B7EFE7B399B2C2E7E","EVID-9D5FF441E9A83BA2016A7779","EVID-BB70599C732C9AF2C89E8F69","EVID-0645324E21523AC72540EBFB"]</t>
        </is>
      </c>
      <c r="AU88" s="22" t="inlineStr">
        <is>
          <t>{"EVID-0645324E21523AC72540EBFB":{"comparator":"","epoch_scope":"CURRENT","evidence_id":"EVID-0645324E21523AC72540EBFB","interpretation":"Calendar-day coverage available to the forward cost model.","metric":"cost_history_days","observation_window":"current_epoch","source":"system.billing.usage","source_field":"usage_date","threshold":null,"unit":"days","value":122},"EVID-2717985C1ABCB4F82F0C3207":{"comparator":"","epoch_scope":"CURRENT","evidence_id":"EVID-2717985C1ABCB4F82F0C3207","interpretation":"Power BI client workload mix context.","metric":"power_bi_queries_30","observation_window":"last 30 days within current epoch","source":"system.query.history","source_field":"client_application","threshold":null,"unit":"queries","value":0},"EVID-2D1C834F33B47D7C597813BC":{"comparator":"","epoch_scope":"CURRENT","evidence_id":"EVID-2D1C834F33B47D7C597813BC","interpretation":"Potential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only)","threshold":null,"unit":"queries","value":0},"EVID-376B961B29D12F53A747A949":{"comparator":"","epoch_scope":"CURRENT","evidence_id":"EVID-376B961B29D12F53A747A949","interpretation":"Notebook workload mix context.","metric":"notebook_queries_30","observation_window":"last 30 days within current epoch","source":"system.query.history","source_field":"query_source.notebook_id","threshold":null,"unit":"queries","value":33},"EVID-473C88A56036CF4722376661":{"comparator":"","epoch_scope":"CURRENT","evidence_id":"EVID-473C88A56036CF4722376661","interpretation":"Coverage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epoch","source":"system.query.history","source_field":"statement_text","threshold":null,"unit":"%","value":100.0},"EVID-48AD911004D78BC5B629A2CD":{"comparator":"","epoch_scope":"CURRENT","evidence_id":"EVID-48AD911004D78BC5B629A2CD","interpretation":"Genie workload mix context.","metric":"genie_queries_30","observation_window":"last 30 days within current epoch","source":"system.query.history","source_field":"query_source.genie_space_id","threshold":null,"unit":"queries","value":0},"EVID-4B624F4A3B3E05F869CEBB81":{"comparator":"","epoch_scope":"CURRENT","evidence_id":"EVID-4B624F4A3B3E05F869CEBB81","interpretation":"Job workload mix context.","metric":"job_queries_30","observation_window":"last 30 days within current epoch","source":"system.query.history","source_field":"query_source.job_info.job_id","threshold":null,"unit":"queries","value":0},"EVID-4E79642ADEB6BD83CF237522":{"comparator":"","epoch_scope":"CURRENT","evidence_id":"EVID-4E79642ADEB6BD83CF237522","interpretation":"Alert workload mix context.","metric":"alert_queries_30","observation_window":"last 30 days within current epoch","source":"system.query.history","source_field":"query_source.alert_id","threshold":null,"unit":"queries","value":0},"EVID-5B91767FD693F50EFD0576F7":{"comparator":"","epoch_scope":"CURRENT","evidence_id":"EVID-5B91767FD693F50EFD0576F7","interpretation":"Dashboard workload mix context.","metric":"dashboard_queries_30","observation_window":"last 30 days within current epoch","source":"system.query.history","source_field":"query_source.dashboard_id","threshold":null,"unit":"queries","value":0},"EVID-60929AEB71973AE52157CA34":{"comparator":"","epoch_scope":"CURRENT","evidence_id":"EVID-60929AEB71973AE52157CA34","interpretation":"Tableau client workload mix context.","metric":"tableau_queries_30","observation_window":"last 30 days within current epoch","source":"system.query.history","source_field":"client_application","threshold":null,"unit":"queries","value":0},"EVID-7C1343FE613D1C19015BD7B1":{"comparator":"","epoch_scope":"CURRENT","evidence_id":"EVID-7C1343FE613D1C19015BD7B1","interpretation":"Current warehouse type.","metric":"warehouse_type","observation_window":"current epoch","source":"system.compute.warehouses","source_field":"warehouse_type","threshold":null,"unit":"value","value":"PRO"},"EVID-803FE025612A1F6D4A58355B":{"comparator":"","epoch_scope":"CURRENT","evidence_id":"EVID-803FE025612A1F6D4A58355B","interpretation":"Query-tag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epoch","source":"system.query.history","source_field":"query_tags","threshold":null,"unit":"%","value":70.0},"EVID-86F8174A6943E8D4F2C7FAFE":{"comparator":"","epoch_scope":"CURRENT","evidence_id":"EVID-86F8174A6943E8D4F2C7FAFE","interpretation":"Databricks SQL editor/query workload mix context.","metric":"sql_editor_queries_30","observation_window":"last 30 days within current epoch","source":"system.query.history","source_field":"query_source.sql_query_id","threshold":null,"unit":"queries","value":3},"EVID-8945206B7EFE7B399B2C2E7E":{"comparator":"","epoch_scope":"CURRENT","evidence_id":"EVID-8945206B7EFE7B399B2C2E7E","interpretation":"Observed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price","threshold":null,"unit":"USD","value":2816.0},"EVID-9D5FF441E9A83BA2016A7779":{"comparator":"","epoch_scope":"CURRENT","evidence_id":"EVID-9D5FF441E9A83BA2016A7779","interpretation":"No-change forward DBU cost forecast anchored to the current configuration epoch.","metric":"forward_dbu_cost_365d","observation_window":"forward_365d","source":"derived","source_field":"epoch-runrate-v2.7","threshold":null,"unit":"USD","value":3200.0},"EVID-BB70599C732C9AF2C89E8F69":{"comparator":"","epoch_scope":"CURRENT","evidence_id":"EVID-BB70599C732C9AF2C89E8F69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3733.77},"EVID-F306F90358EC1E71F324BC0D":{"comparator":"","epoch_scope":"CURRENT","evidence_id":"EVID-F306F90358EC1E71F324BC0D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days","source":"system.billing.usage","source_field":"product_features.is_serverless","threshold":null,"unit":"%","value":0.0}}</t>
        </is>
      </c>
      <c r="AV88" s="22" t="inlineStr">
        <is>
          <t>[]</t>
        </is>
      </c>
      <c r="AW88" s="22" t="inlineStr">
        <is>
          <t>[]</t>
        </is>
      </c>
      <c r="AX88" s="22" t="inlineStr">
        <is>
          <t>["warehouse_size","max_clusters","min_clusters","auto_stop_minutes"]</t>
        </is>
      </c>
      <c r="AY88" s="22" t="inlineStr">
        <is>
          <t>["A_B_COST_PERFORMANCE_VALIDATION_REQUIRED","SERVERLESS_WORKSPACE_CAPABILITY_NOT_CONFIRMED_FROM_SYSTEM_TABLES"]</t>
        </is>
      </c>
      <c r="AZ88" s="22" t="inlineStr">
        <is>
          <t>[{"execution_state":"READY_FOR_CANARY","scenario_id":"SCN-C76B1BF0BE04F2268A48C457","scenario_name":"Plan B — Serverless migration experiment","step":2}]</t>
        </is>
      </c>
      <c r="BA88" s="22" t="inlineStr">
        <is>
          <t>[]</t>
        </is>
      </c>
    </row>
    <row r="89" ht="32" customHeight="1">
      <c r="A89" s="14" t="inlineStr">
        <is>
          <t>PKG-8A3D702F2E106E66AE0DA92A</t>
        </is>
      </c>
      <c r="B89" s="14" t="inlineStr">
        <is>
          <t>CAND-73A72B66CCC5DF6F66CAC2FE</t>
        </is>
      </c>
      <c r="C89" s="14" t="inlineStr">
        <is>
          <t>WH-CHANNEL-CURRENT-001</t>
        </is>
      </c>
      <c r="D89" s="14" t="inlineStr">
        <is>
          <t>2234567890123456</t>
        </is>
      </c>
      <c r="E89" s="14" t="inlineStr">
        <is>
          <t>wh-synth-012</t>
        </is>
      </c>
      <c r="F89" s="15" t="inlineStr">
        <is>
          <t>Supply Chain BI</t>
        </is>
      </c>
      <c r="G89" s="16" t="inlineStr">
        <is>
          <t>supply-chain@databricks.example</t>
        </is>
      </c>
      <c r="H89" s="14" t="inlineStr">
        <is>
          <t>EPOCH-E8E5EC239C9C77845A59BBA4</t>
        </is>
      </c>
      <c r="I89" s="18" t="inlineStr">
        <is>
          <t>warehouse_channel</t>
        </is>
      </c>
      <c r="J89" s="18" t="inlineStr">
        <is>
          <t>NO_CHANGE</t>
        </is>
      </c>
      <c r="K89" s="15" t="inlineStr">
        <is>
          <t>STABILITY</t>
        </is>
      </c>
      <c r="L89" s="15" t="inlineStr">
        <is>
          <t>CURRENT</t>
        </is>
      </c>
      <c r="M89" s="15" t="inlineStr">
        <is>
          <t>CURRENT</t>
        </is>
      </c>
      <c r="N89" s="15" t="inlineStr">
        <is>
          <t>No channel change indicated.</t>
        </is>
      </c>
      <c r="O89" s="21" t="n">
        <v>0.8</v>
      </c>
      <c r="P89" s="18" t="inlineStr">
        <is>
          <t>HIGH</t>
        </is>
      </c>
      <c r="Q89" s="18" t="b">
        <v>1</v>
      </c>
      <c r="R89" s="16" t="inlineStr">
        <is>
          <t>USD</t>
        </is>
      </c>
      <c r="S89" s="18" t="inlineStr">
        <is>
          <t>NO_CHANGE</t>
        </is>
      </c>
      <c r="T89" s="19" t="n">
        <v>33000</v>
      </c>
      <c r="U89" s="19" t="n">
        <v>8793.82</v>
      </c>
      <c r="V89" s="19" t="n">
        <v>41793.82</v>
      </c>
      <c r="W89" s="19" t="n">
        <v>0</v>
      </c>
      <c r="X89" s="19" t="n">
        <v>0</v>
      </c>
      <c r="Y89" s="19" t="n">
        <v>0</v>
      </c>
      <c r="Z89" s="19" t="n">
        <v>0</v>
      </c>
      <c r="AA89" s="19" t="n">
        <v>0</v>
      </c>
      <c r="AB89" s="19" t="n">
        <v>0</v>
      </c>
      <c r="AC89" s="19" t="n">
        <v>0</v>
      </c>
      <c r="AD89" s="19" t="n">
        <v>0</v>
      </c>
      <c r="AE89" s="19" t="n">
        <v>0</v>
      </c>
      <c r="AF89" s="19" t="n">
        <v>41793.82</v>
      </c>
      <c r="AG89" s="19" t="n">
        <v>41793.82</v>
      </c>
      <c r="AH89" s="19" t="n">
        <v>41793.82</v>
      </c>
      <c r="AI89" s="18" t="b">
        <v>0</v>
      </c>
      <c r="AJ89" s="18" t="inlineStr">
        <is>
          <t>NOT_APPLIED</t>
        </is>
      </c>
      <c r="AK89" s="16" t="inlineStr">
        <is>
          <t>—</t>
        </is>
      </c>
      <c r="AL89" s="18" t="inlineStr">
        <is>
          <t>—</t>
        </is>
      </c>
      <c r="AM89" s="19" t="inlineStr">
        <is>
          <t>UNAVAILABLE</t>
        </is>
      </c>
      <c r="AN89" s="19" t="inlineStr">
        <is>
          <t>UNAVAILABLE</t>
        </is>
      </c>
      <c r="AO89" s="19" t="inlineStr">
        <is>
          <t>UNAVAILABLE</t>
        </is>
      </c>
      <c r="AP89" s="19" t="inlineStr">
        <is>
          <t>UNAVAILABLE</t>
        </is>
      </c>
      <c r="AQ89" s="18" t="inlineStr">
        <is>
          <t>—</t>
        </is>
      </c>
      <c r="AR89" s="15" t="inlineStr">
        <is>
          <t>No numeric threshold</t>
        </is>
      </c>
      <c r="AS89" s="22" t="inlineStr">
        <is>
          <t>{"coverage":1.0,"epoch_maturity":1.0,"sample":1.0,"signal":0.7,"stability":0.91}</t>
        </is>
      </c>
      <c r="AT89" s="22" t="inlineStr">
        <is>
          <t>["EVID-94A443A0D3C916891029D716","EVID-A8BE846EED36B67068AA40E0","EVID-5744D477056B6D4DDA2B3C9A","EVID-05DD86E0F6613765BFBA1E18","EVID-4D2EA7CDCF00512B9AD8016B"]</t>
        </is>
      </c>
      <c r="AU89" s="22" t="inlineStr">
        <is>
          <t>{"EVID-05DD86E0F6613765BFBA1E18":{"comparator":"","epoch_scope":"CURRENT","evidence_id":"EVID-05DD86E0F6613765BFBA1E18","interpretation":"Forward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8793.82},"EVID-4D2EA7CDCF00512B9AD8016B":{"comparator":"","epoch_scope":"CURRENT","evidence_id":"EVID-4D2EA7CDCF00512B9AD8016B","interpretation":"Calendar-day coverage available to the forward cost model.","metric":"cost_history_days","observation_window":"current_epoch","source":"system.billing.usage","source_field":"usage_date","threshold":null,"unit":"days","value":259},"EVID-5744D477056B6D4DDA2B3C9A":{"comparator":"","epoch_scope":"CURRENT","evidence_id":"EVID-5744D477056B6D4DDA2B3C9A","interpretation":"No-change forward DBU cost forecast anchored to the current configuration epoch.","metric":"forward_dbu_cost_365d","observation_window":"forward_365d","source":"derived","source_field":"epoch-runrate-v2.7","threshold":null,"unit":"USD","value":33000.0},"EVID-94A443A0D3C916891029D716":{"comparator":"","epoch_scope":"CURRENT","evidence_id":"EVID-94A443A0D3C916891029D716","interpretation":"Current release channel from the current configuration epoch.","metric":"warehouse_channel","observation_window":"current epoch","source":"system.compute.warehouses","source_field":"warehouse_channel","threshold":null,"unit":"value","value":"CURRENT"},"EVID-A8BE846EED36B67068AA40E0":{"comparator":"","epoch_scope":"CURRENT","evidence_id":"EVID-A8BE846EED36B67068AA40E0","interpretation":"Observed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price","threshold":null,"unit":"USD","value":29040.0}}</t>
        </is>
      </c>
      <c r="AV89" s="22" t="inlineStr">
        <is>
          <t>[]</t>
        </is>
      </c>
      <c r="AW89" s="22" t="inlineStr">
        <is>
          <t>[]</t>
        </is>
      </c>
      <c r="AX89" s="22" t="inlineStr">
        <is>
          <t>[]</t>
        </is>
      </c>
      <c r="AY89" s="22" t="inlineStr">
        <is>
          <t>[]</t>
        </is>
      </c>
      <c r="AZ89" s="22" t="inlineStr">
        <is>
          <t>[]</t>
        </is>
      </c>
      <c r="BA89" s="22" t="inlineStr">
        <is>
          <t>[]</t>
        </is>
      </c>
    </row>
    <row r="90" ht="32" customHeight="1">
      <c r="A90" s="14" t="inlineStr">
        <is>
          <t>PKG-8A3D702F2E106E66AE0DA92A</t>
        </is>
      </c>
      <c r="B90" s="14" t="inlineStr">
        <is>
          <t>CAND-20A04702FCD63664C07653A5</t>
        </is>
      </c>
      <c r="C90" s="14" t="inlineStr">
        <is>
          <t>WH-SIZE-DOWNSIZE-001</t>
        </is>
      </c>
      <c r="D90" s="14" t="inlineStr">
        <is>
          <t>2234567890123456</t>
        </is>
      </c>
      <c r="E90" s="14" t="inlineStr">
        <is>
          <t>wh-synth-012</t>
        </is>
      </c>
      <c r="F90" s="15" t="inlineStr">
        <is>
          <t>Supply Chain BI</t>
        </is>
      </c>
      <c r="G90" s="16" t="inlineStr">
        <is>
          <t>supply-chain@databricks.example</t>
        </is>
      </c>
      <c r="H90" s="14" t="inlineStr">
        <is>
          <t>EPOCH-E8E5EC239C9C77845A59BBA4</t>
        </is>
      </c>
      <c r="I90" s="18" t="inlineStr">
        <is>
          <t>warehouse_size</t>
        </is>
      </c>
      <c r="J90" s="18" t="inlineStr">
        <is>
          <t>TEST_REQUIRED</t>
        </is>
      </c>
      <c r="K90" s="15" t="inlineStr">
        <is>
          <t>COST</t>
        </is>
      </c>
      <c r="L90" s="15" t="inlineStr">
        <is>
          <t>LARGE</t>
        </is>
      </c>
      <c r="M90" s="15" t="inlineStr">
        <is>
          <t>MEDIUM</t>
        </is>
      </c>
      <c r="N90" s="15" t="inlineStr">
        <is>
          <t>Low spill, queueing, and latency make one-size down a controlled canary candidate; absence of pressure is not proof of SLA safety.</t>
        </is>
      </c>
      <c r="O90" s="21" t="n">
        <v>0.78</v>
      </c>
      <c r="P90" s="18" t="inlineStr">
        <is>
          <t>MEDIUM</t>
        </is>
      </c>
      <c r="Q90" s="18" t="b">
        <v>1</v>
      </c>
      <c r="R90" s="16" t="inlineStr">
        <is>
          <t>USD</t>
        </is>
      </c>
      <c r="S90" s="18" t="inlineStr">
        <is>
          <t>COST_INCREASE</t>
        </is>
      </c>
      <c r="T90" s="19" t="n">
        <v>33000</v>
      </c>
      <c r="U90" s="19" t="n">
        <v>8793.82</v>
      </c>
      <c r="V90" s="19" t="n">
        <v>41793.82</v>
      </c>
      <c r="W90" s="19" t="n">
        <v>-14417.66</v>
      </c>
      <c r="X90" s="19" t="n">
        <v>-6769.65</v>
      </c>
      <c r="Y90" s="19" t="n">
        <v>-651.24</v>
      </c>
      <c r="Z90" s="19" t="n">
        <v>615.5700000000001</v>
      </c>
      <c r="AA90" s="19" t="n">
        <v>1934.64</v>
      </c>
      <c r="AB90" s="19" t="n">
        <v>2989.9</v>
      </c>
      <c r="AC90" s="19" t="n">
        <v>-13802.09</v>
      </c>
      <c r="AD90" s="19" t="n">
        <v>-4835.01</v>
      </c>
      <c r="AE90" s="19" t="n">
        <v>2338.66</v>
      </c>
      <c r="AF90" s="19" t="n">
        <v>39455.16</v>
      </c>
      <c r="AG90" s="19" t="n">
        <v>46628.83</v>
      </c>
      <c r="AH90" s="19" t="n">
        <v>55595.91</v>
      </c>
      <c r="AI90" s="18" t="b">
        <v>0</v>
      </c>
      <c r="AJ90" s="18" t="inlineStr">
        <is>
          <t>NOT_APPLIED</t>
        </is>
      </c>
      <c r="AK90" s="16" t="inlineStr">
        <is>
          <t>—</t>
        </is>
      </c>
      <c r="AL90" s="18" t="inlineStr">
        <is>
          <t>—</t>
        </is>
      </c>
      <c r="AM90" s="19" t="inlineStr">
        <is>
          <t>UNAVAILABLE</t>
        </is>
      </c>
      <c r="AN90" s="19" t="inlineStr">
        <is>
          <t>UNAVAILABLE</t>
        </is>
      </c>
      <c r="AO90" s="19" t="inlineStr">
        <is>
          <t>UNAVAILABLE</t>
        </is>
      </c>
      <c r="AP90" s="19" t="inlineStr">
        <is>
          <t>UNAVAILABLE</t>
        </is>
      </c>
      <c r="AQ90" s="18" t="inlineStr">
        <is>
          <t>—</t>
        </is>
      </c>
      <c r="AR90" s="15" t="inlineStr">
        <is>
          <t>spill_query_pct_30 &gt;= upsize signal 2.0; spill_queries_30 &gt;= evidence minimum for upsize 20; p95_spill_bytes_when_spilled_30 &gt;= upsize signal 1073741824; queued_query_pct_30 &lt;= downsize-safe 0.5; p95_execution_ms_30 &lt;= downsize-safe 5000; p99_execution_ms_30 &lt;= downsize-safe 30000</t>
        </is>
      </c>
      <c r="AS90" s="22" t="inlineStr">
        <is>
          <t>{"coverage":1.0,"epoch_maturity":1.0,"sample":1.0,"signal":1.0,"stability":0.91}</t>
        </is>
      </c>
      <c r="AT90" s="22" t="inlineStr">
        <is>
          <t>["EVID-F45B3F25E72C93572E60D363","EVID-ABE50E8BB95F0A3555F82500","EVID-EBE7FEB8EDF8384AFCA4023F","EVID-6697A43FF1953B6DD17B7E3A","EVID-168734B9927A9EB76E8DD271","EVID-76CC7EFCB0C616F7636449A1","EVID-D83B486744833AA5B4728EAA","EVID-CE464D57463AF05E9E2B1B2E","EVID-A8BE846EED36B67068AA40E0","EVID-5744D477056B6D4DDA2B3C9A","EVID-05DD86E0F6613765BFBA1E18","EVID-4D2EA7CDCF00512B9AD8016B"]</t>
        </is>
      </c>
      <c r="AU90" s="22" t="inlineStr">
        <is>
          <t>{"EVID-05DD86E0F6613765BFBA1E18":{"comparator":"","epoch_scope":"CURRENT","evidence_id":"EVID-05DD86E0F6613765BFBA1E18","interpretation":"Forward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unavailable.","metric":"forward_aws_cost_365d","observation_window":"forward_365d","source":"derived","source_field":"aws_current_epoch_cost_model","threshold":null,"unit":"USD","value":8793.82},"EVID-168734B9927A9EB76E8DD271":{"comparator":"&lt;= downsize-safe","epoch_scope":"CURRENT","evidence_id":"EVID-168734B9927A9EB76E8DD271","interpretation":"Concurrency pressure during the decision window.","metric":"queued_query_pct_30","observation_window":"last 30 days within current epoch","source":"system.query.history","source_field":"waiting_at_capacity_duration_ms","threshold":0.5,"unit":"%","value":0.1},"EVID-4D2EA7CDCF00512B9AD8016B":{"comparator":"","epoch_scope":"CURRENT","evidence_id":"EVID-4D2EA7CDCF00512B9AD8016B","interpretation":"Calendar-day coverage available to the forward cost model.","metric":"cost_history_days","observation_window":"current_epoch","source":"system.billing.usage","source_field":"usage_date","threshold":null,"unit":"days","value":259},"EVID-5744D477056B6D4DDA2B3C9A":{"comparator":"","epoch_scope":"CURRENT","evidence_id":"EVID-5744D477056B6D4DDA2B3C9A","interpretation":"No-change forward DBU cost forecast anchored to the current configuration epoch.","metric":"forward_dbu_cost_365d","observation_window":"forward_365d","source":"derived","source_field":"epoch-runrate-v2.7","threshold":null,"unit":"USD","value":33000.0},"EVID-6697A43FF1953B6DD17B7E3A":{"comparator":"&gt;= upsize signal","epoch_scope":"CURRENT","evidence_id":"EVID-6697A43FF1953B6DD17B7E3A","interpretation":"Severity of spill at p95 among queries that spilled.","metric":"p95_spill_bytes_when_spilled_30","observation_window":"last 30 days within current epoch","source":"system.query.history","source_field":"spilled_local_bytes","threshold":1073741824,"unit":"bytes","value":0},"EVID-76CC7EFCB0C616F7636449A1":{"comparator":"&lt;= downsize-safe","epoch_scope":"CURRENT","evidence_id":"EVID-76CC7EFCB0C616F7636449A1","interpretation":"Tail execution latency guardrail.","metric":"p95_execution_ms_30","observation_window":"last 30 days within current epoch","source":"system.query.history","source_field":"execution_duration_ms","threshold":5000,"unit":"ms","value":2300},"EVID-A8BE846EED36B67068AA40E0":{"comparator":"","epoch_scope":"CURRENT","evidence_id":"EVID-A8BE846EED36B67068AA40E0","interpretation":"Observed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price","threshold":null,"unit":"USD","value":29040.0},"EVID-ABE50E8BB95F0A3555F82500":{"comparator":"&gt;= upsize signal","epoch_scope":"CURRENT","evidence_id":"EVID-ABE50E8BB95F0A3555F82500","interpretation":"Frequency of queries spilling to local storage.","metric":"spill_query_pct_30","observation_window":"last 30 days within current epoch","source":"system.query.history","source_field":"spilled_local_bytes","threshold":2.0,"unit":"%","value":0.0},"EVID-CE464D57463AF05E9E2B1B2E":{"comparator":"","epoch_scope":"CURRENT","evidence_id":"EVID-CE464D57463AF05E9E2B1B2E","interpretation":"I/O cache evidence for HITL context; not a v2 size decision threshold.","metric":"avg_read_io_cache_percent_30","observation_window":"last 30 days within current epoch","source":"system.query.history","source_field":"read_io_cache_percent","threshold":null,"unit":"%","value":35.0},"EVID-D83B486744833AA5B4728EAA":{"comparator":"&lt;= downsize-safe","epoch_scope":"CURRENT","evidence_id":"EVID-D83B486744833AA5B4728EAA","interpretation":"Extreme tail execution latency guardrail.","metric":"p99_execution_ms_30","observation_window":"last 30 days within current epoch","source":"system.query.history","source_field":"execution_duration_ms","threshold":30000,"unit":"ms","value":8500},"EVID-EBE7FEB8EDF8384AFCA4023F":{"comparator":"&gt;= evidence minimum for upsize","epoch_scope":"CURRENT","evidence_id":"EVID-EBE7FEB8EDF8384AFCA4023F","interpretation":"Queries that spilled; the spill severity percentile is computed over these queries only.","metric":"spill_queries_30","observation_window":"last 30 days within current epoch","source":"system.query.history","source_field":"spilled_local_bytes","threshold":20,"unit":"queries","value":0},"EVID-F45B3F25E72C93572E60D363":{"comparator":"","epoch_scope":"CURRENT","evidence_id":"EVID-F45B3F25E72C93572E60D363","interpretation":"Current warehouse size.","metric":"warehouse_size","observation_window":"current epoch","source":"system.compute.warehouses","source_field":"warehouse_size","threshold":null,"unit":"value","value":"LARGE"}}</t>
        </is>
      </c>
      <c r="AV90" s="22" t="inlineStr">
        <is>
          <t>[{"comparator":"&gt;= upsize signal","evidence_id":"EVID-ABE50E8BB95F0A3555F82500","metric":"spill_query_pct_30","threshold":2.0},{"comparator":"&gt;= evidence minimum for upsize","evidence_id":"EVID-EBE7FEB8EDF8384AFCA4023F","metric":"spill_queries_30","threshold":20},{"comparator":"&gt;= upsize signal","evidence_id":"EVID-6697A43FF1953B6DD17B7E3A","metric":"p95_spill_bytes_when_spilled_30","threshold":1073741824},{"comparator":"&lt;= downsize-safe","evidence_id":"EVID-168734B9927A9EB76E8DD271","metric":"queued_query_pct_30","threshold":0.5},{"comparator":"&lt;= downsize-safe","evidence_id":"EVID-76CC7EFCB0C616F7636449A1","metric":"p95_execution_ms_30","threshold":5000},{"comparator":"&lt;= downsize-safe","evidence_id":"EVID-D83B486744833AA5B4728EAA","metric":"p99_execution_ms_30","threshold":30000}]</t>
        </is>
      </c>
      <c r="AW90" s="22" t="inlineStr">
        <is>
          <t>[{"condition":null,"dependency_type":"KNOB","ref_id":"warehouse_channel"}]</t>
        </is>
      </c>
      <c r="AX90" s="22" t="inlineStr">
        <is>
          <t>["max_clusters","min_clusters","auto_stop_minutes"]</t>
        </is>
      </c>
      <c r="AY90" s="22" t="inlineStr">
        <is>
          <t>["A_B_PERFORMANCE_VALIDATION_REQUIRED"]</t>
        </is>
      </c>
      <c r="AZ90" s="22" t="inlineStr">
        <is>
          <t>[{"execution_state":"READY_FOR_CANARY","scenario_id":"SCN-CD13BC97911EDD734CF17B6B","scenario_name":"Plan A — Optimize current warehouse type","step":1}]</t>
        </is>
      </c>
      <c r="BA90" s="22" t="inlineStr">
        <is>
          <t>[]</t>
        </is>
      </c>
    </row>
    <row r="91" ht="32" customHeight="1">
      <c r="A91" s="14" t="inlineStr">
        <is>
          <t>PKG-8A3D702F2E106E66AE0DA92A</t>
        </is>
      </c>
      <c r="B91" s="14" t="inlineStr">
        <is>
          <t>CAND-9ADFC70F5FC112A2499B5375</t>
        </is>
      </c>
      <c r="C91" s="14" t="inlineStr">
        <is>
          <t>WH-MAX-CLUSTER-REDUCE-001</t>
        </is>
      </c>
      <c r="D91" s="14" t="inlineStr">
        <is>
          <t>2234567890123456</t>
        </is>
      </c>
      <c r="E91" s="14" t="inlineStr">
        <is>
          <t>wh-synth-012</t>
        </is>
      </c>
      <c r="F91" s="15" t="inlineStr">
        <is>
          <t>Supply Chain BI</t>
        </is>
      </c>
      <c r="G91" s="16" t="inlineStr">
        <is>
          <t>supply-chain@databricks.example</t>
        </is>
      </c>
      <c r="H91" s="14" t="inlineStr">
        <is>
          <t>EPOCH-E8E5EC239C9C77845A59BBA4</t>
        </is>
      </c>
      <c r="I91" s="18" t="inlineStr">
        <is>
          <t>max_clusters</t>
        </is>
      </c>
      <c r="J91" s="18" t="inlineStr">
        <is>
          <t>ACTIONABLE</t>
        </is>
      </c>
      <c r="K91" s="15" t="inlineStr">
        <is>
          <t>COST_GUARDRAIL</t>
        </is>
      </c>
      <c r="L91" s="15" t="n">
        <v>5</v>
      </c>
      <c r="M91" s="15" t="n">
        <v>3</v>
      </c>
      <c r="N91" s="15" t="inlineStr">
        <is>
          <t>The configured ceiling has not been used and queue pressure is low; tighten the guardrail without claiming direct savings.</t>
        </is>
      </c>
      <c r="O91" s="21" t="n">
        <v>0.93</v>
      </c>
      <c r="P91" s="18" t="inlineStr">
        <is>
          <t>HIGH</t>
        </is>
      </c>
      <c r="Q91" s="18" t="b">
        <v>1</v>
      </c>
      <c r="R91" s="16" t="inlineStr">
        <is>
          <t>USD</t>
        </is>
      </c>
      <c r="S91" s="18" t="inlineStr">
        <is>
          <t>NO_CHANGE</t>
        </is>
      </c>
      <c r="T91" s="19" t="n">
        <v>33000</v>
      </c>
      <c r="U91" s="19" t="n">
        <v>8793.82</v>
      </c>
      <c r="V91" s="19" t="n">
        <v>41793.82</v>
      </c>
      <c r="W91" s="19" t="n">
        <v>0</v>
      </c>
      <c r="X91" s="19" t="n">
        <v>0</v>
      </c>
      <c r="Y91" s="19" t="n">
        <v>0</v>
      </c>
      <c r="Z91" s="19" t="n">
        <v>0</v>
      </c>
      <c r="AA91" s="19" t="n">
        <v>0</v>
      </c>
      <c r="AB91" s="19" t="n">
        <v>0</v>
      </c>
      <c r="AC91" s="19" t="n">
        <v>0</v>
      </c>
      <c r="AD91" s="19" t="n">
        <v>0</v>
      </c>
      <c r="AE91" s="19" t="n">
        <v>0</v>
      </c>
      <c r="AF91" s="19" t="n">
        <v>41793.82</v>
      </c>
      <c r="AG91" s="19" t="n">
        <v>41793.82</v>
      </c>
      <c r="AH91" s="19" t="n">
        <v>41793.82</v>
      </c>
      <c r="AI91" s="18" t="b">
        <v>0</v>
      </c>
      <c r="AJ91" s="18" t="inlineStr">
        <is>
          <t>NOT_APPLIED</t>
        </is>
      </c>
      <c r="AK91" s="16" t="inlineStr">
        <is>
          <t>—</t>
        </is>
      </c>
      <c r="AL91" s="18" t="inlineStr">
        <is>
          <t>—</t>
        </is>
      </c>
      <c r="AM91" s="19" t="inlineStr">
        <is>
          <t>UNAVAILABLE</t>
        </is>
      </c>
      <c r="AN91" s="19" t="inlineStr">
        <is>
          <t>UNAVAILABLE</t>
        </is>
      </c>
      <c r="AO91" s="19" t="inlineStr">
        <is>
          <t>UNAVAILABLE</t>
        </is>
      </c>
      <c r="AP91" s="19" t="inlineStr">
        <is>
          <t>UNAVAILABLE</t>
        </is>
      </c>
      <c r="AQ91" s="18" t="inlineStr">
        <is>
          <t>—</t>
        </is>
      </c>
      <c r="AR91" s="15" t="inlineStr">
        <is>
          <t>time_at_max_pct &lt;= reduce-safe 1.0; queued_query_pct_30 &gt;= increase signal 5.0; queued_queries_30 &gt;= evidence minimum for increase 20; p95_wait_capacity_ms_when_queued_30 &gt;= increase signal 30000</t>
        </is>
      </c>
      <c r="AS91" s="22" t="inlineStr">
        <is>
          <t>{"coverage":1.0,"epoch_maturity":1.0,"sample":1.0,"signal":1.0,"stability":0.91}</t>
        </is>
      </c>
      <c r="AT91" s="22" t="inlineStr">
        <is>
          <t>["EVID-25018FD718DF5EACF142F830","EVID-53CBA2DB88E1E98F95E78F57","EVID-B4DC16A94706160A1FD2D15E","EVID-DA02736184DF2A70345CF47D","EVID-2A52B7303B96A6106B59F7DD","EVID-992E8BC51B6B9DAF16486239","EVID-A8BE846EED36B67068AA40E0","EVID-5744D477056B6D4DDA2B3C9A","EVID-05DD86E0F6613765BFBA1E18","EVID-4D2EA7CDCF00512B9AD8016B"]</t>
        </is>
      </c>
      <c r="AU91" s="22" t="inlineStr">
        <is>
          <t>{"EVID-05DD86E0F6613765BFBA1E18":{"comparator":"","epoch_scope":"CURRENT","evidence_id":"EVID-05DD86E0F6613765BFBA1E18","interpretation":"Forward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8793.82},"EVID-25018FD718DF5EACF142F830":{"comparator":"","epoch_scope":"CURRENT","evidence_id":"EVID-25018FD718DF5EACF142F830","interpretation":"Configured concurrency ceiling.","metric":"max_clusters","observation_window":"current epoch","source":"system.compute.warehouses","source_field":"max_clusters","threshold":null,"unit":"value","value":5},"EVID-2A52B7303B96A6106B59F7DD":{"comparator":"&gt;= evidence minimum for increase","epoch_scope":"CURRENT","evidence_id":"EVID-2A52B7303B96A6106B59F7DD","interpretation":"Queries that queued at capacity; the wait percentile is computed over these queries only.","metric":"queued_queries_30","observation_window":"last 30 days within current epoch","source":"system.query.history","source_field":"waiting_at_capacity_duration_ms","threshold":20,"unit":"queries","value":11},"EVID-4D2EA7CDCF00512B9AD8016B":{"comparator":"","epoch_scope":"CURRENT","evidence_id":"EVID-4D2EA7CDCF00512B9AD8016B","interpretation":"Calendar-day coverage available to the forward cost model.","metric":"cost_history_days","observation_window":"current_epoch","source":"system.billing.usage","source_field":"usage_date","threshold":null,"unit":"days","value":259},"EVID-53CBA2DB88E1E98F95E78F57":{"comparator":"","epoch_scope":"CURRENT","evidence_id":"EVID-53CBA2DB88E1E98F95E78F57","interpretation":"Highest observed scale level.","metric":"max_observed_clusters","observation_window":"current epoch","source":"system.compute.warehouse_events","source_field":"cluster_count","threshold":null,"unit":"clusters","value":2},"EVID-5744D477056B6D4DDA2B3C9A":{"comparator":"","epoch_scope":"CURRENT","evidence_id":"EVID-5744D477056B6D4DDA2B3C9A","interpretation":"No-change forward DBU cost forecast anchored to the current configuration epoch.","metric":"forward_dbu_cost_365d","observation_window":"forward_365d","source":"derived","source_field":"epoch-runrate-v2.7","threshold":null,"unit":"USD","value":33000.0},"EVID-992E8BC51B6B9DAF16486239":{"comparator":"&gt;= increase signal","epoch_scope":"CURRENT","evidence_id":"EVID-992E8BC51B6B9DAF16486239","interpretation":"Severity of capacity queueing at p95 among queued queries.","metric":"p95_wait_capacity_ms_when_queued_30","observation_window":"last 30 days within current epoch","source":"system.query.history","source_field":"waiting_at_capacity_duration_ms","threshold":30000,"unit":"ms","value":800},"EVID-A8BE846EED36B67068AA40E0":{"comparator":"","epoch_scope":"CURRENT","evidence_id":"EVID-A8BE846EED36B67068AA40E0","interpretation":"Observed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price","threshold":null,"unit":"USD","value":29040.0},"EVID-B4DC16A94706160A1FD2D15E":{"comparator":"&lt;= reduce-safe","epoch_scope":"CURRENT","evidence_id":"EVID-B4DC16A94706160A1FD2D15E","interpretation":"Fraction of running time at configured maximum.","metric":"time_at_max_pct","observation_window":"current epoch","source":"system.compute.warehouse_events","source_field":"cluster_count","threshold":1.0,"unit":"%","value":0.0},"EVID-DA02736184DF2A70345CF47D":{"comparator":"&gt;= increase signal","epoch_scope":"CURRENT","evidence_id":"EVID-DA02736184DF2A70345CF47D","interpretation":"Frequency of capacity queueing.","metric":"queued_query_pct_30","observation_window":"last 30 days within current epoch","source":"system.query.history","source_field":"waiting_at_capacity_duration_ms","threshold":5.0,"unit":"%","value":0.1}}</t>
        </is>
      </c>
      <c r="AV91" s="22" t="inlineStr">
        <is>
          <t>[{"comparator":"&lt;= reduce-safe","evidence_id":"EVID-B4DC16A94706160A1FD2D15E","metric":"time_at_max_pct","threshold":1.0},{"comparator":"&gt;= increase signal","evidence_id":"EVID-DA02736184DF2A70345CF47D","metric":"queued_query_pct_30","threshold":5.0},{"comparator":"&gt;= evidence minimum for increase","evidence_id":"EVID-2A52B7303B96A6106B59F7DD","metric":"queued_queries_30","threshold":20},{"comparator":"&gt;= increase signal","evidence_id":"EVID-992E8BC51B6B9DAF16486239","metric":"p95_wait_capacity_ms_when_queued_30","threshold":30000}]</t>
        </is>
      </c>
      <c r="AW91" s="22" t="inlineStr">
        <is>
          <t>[{"condition":null,"dependency_type":"KNOB","ref_id":"warehouse_size"}]</t>
        </is>
      </c>
      <c r="AX91" s="22" t="inlineStr">
        <is>
          <t>["min_clusters"]</t>
        </is>
      </c>
      <c r="AY91" s="22" t="inlineStr">
        <is>
          <t>[]</t>
        </is>
      </c>
      <c r="AZ91" s="22" t="inlineStr">
        <is>
          <t>[{"execution_state":"PENDING_REEVALUATION","scenario_id":"SCN-CD13BC97911EDD734CF17B6B","scenario_name":"Plan A — Optimize current warehouse type","step":2}]</t>
        </is>
      </c>
      <c r="BA91" s="22" t="inlineStr">
        <is>
          <t>[]</t>
        </is>
      </c>
    </row>
    <row r="92" ht="32" customHeight="1">
      <c r="A92" s="14" t="inlineStr">
        <is>
          <t>PKG-8A3D702F2E106E66AE0DA92A</t>
        </is>
      </c>
      <c r="B92" s="14" t="inlineStr">
        <is>
          <t>CAND-F52F904EE62AFA4706B94D7E</t>
        </is>
      </c>
      <c r="C92" s="14" t="inlineStr">
        <is>
          <t>WH-MIN-CLUSTER-ASSESS-001</t>
        </is>
      </c>
      <c r="D92" s="14" t="inlineStr">
        <is>
          <t>2234567890123456</t>
        </is>
      </c>
      <c r="E92" s="14" t="inlineStr">
        <is>
          <t>wh-synth-012</t>
        </is>
      </c>
      <c r="F92" s="15" t="inlineStr">
        <is>
          <t>Supply Chain BI</t>
        </is>
      </c>
      <c r="G92" s="16" t="inlineStr">
        <is>
          <t>supply-chain@databricks.example</t>
        </is>
      </c>
      <c r="H92" s="14" t="inlineStr">
        <is>
          <t>EPOCH-E8E5EC239C9C77845A59BBA4</t>
        </is>
      </c>
      <c r="I92" s="18" t="inlineStr">
        <is>
          <t>min_clusters</t>
        </is>
      </c>
      <c r="J92" s="18" t="inlineStr">
        <is>
          <t>NO_CHANGE</t>
        </is>
      </c>
      <c r="K92" s="15" t="inlineStr">
        <is>
          <t>COST</t>
        </is>
      </c>
      <c r="L92" s="15" t="n">
        <v>1</v>
      </c>
      <c r="M92" s="15" t="n">
        <v>1</v>
      </c>
      <c r="N92" s="15" t="inlineStr">
        <is>
          <t>Minimum is already 1.</t>
        </is>
      </c>
      <c r="O92" s="21" t="n">
        <v>0.8</v>
      </c>
      <c r="P92" s="18" t="inlineStr">
        <is>
          <t>HIGH</t>
        </is>
      </c>
      <c r="Q92" s="18" t="b">
        <v>1</v>
      </c>
      <c r="R92" s="16" t="inlineStr">
        <is>
          <t>USD</t>
        </is>
      </c>
      <c r="S92" s="18" t="inlineStr">
        <is>
          <t>NO_CHANGE</t>
        </is>
      </c>
      <c r="T92" s="19" t="n">
        <v>33000</v>
      </c>
      <c r="U92" s="19" t="n">
        <v>8793.82</v>
      </c>
      <c r="V92" s="19" t="n">
        <v>41793.82</v>
      </c>
      <c r="W92" s="19" t="n">
        <v>0</v>
      </c>
      <c r="X92" s="19" t="n">
        <v>0</v>
      </c>
      <c r="Y92" s="19" t="n">
        <v>0</v>
      </c>
      <c r="Z92" s="19" t="n">
        <v>0</v>
      </c>
      <c r="AA92" s="19" t="n">
        <v>0</v>
      </c>
      <c r="AB92" s="19" t="n">
        <v>0</v>
      </c>
      <c r="AC92" s="19" t="n">
        <v>0</v>
      </c>
      <c r="AD92" s="19" t="n">
        <v>0</v>
      </c>
      <c r="AE92" s="19" t="n">
        <v>0</v>
      </c>
      <c r="AF92" s="19" t="n">
        <v>41793.82</v>
      </c>
      <c r="AG92" s="19" t="n">
        <v>41793.82</v>
      </c>
      <c r="AH92" s="19" t="n">
        <v>41793.82</v>
      </c>
      <c r="AI92" s="18" t="b">
        <v>0</v>
      </c>
      <c r="AJ92" s="18" t="inlineStr">
        <is>
          <t>NOT_APPLIED</t>
        </is>
      </c>
      <c r="AK92" s="16" t="inlineStr">
        <is>
          <t>—</t>
        </is>
      </c>
      <c r="AL92" s="18" t="inlineStr">
        <is>
          <t>—</t>
        </is>
      </c>
      <c r="AM92" s="19" t="inlineStr">
        <is>
          <t>UNAVAILABLE</t>
        </is>
      </c>
      <c r="AN92" s="19" t="inlineStr">
        <is>
          <t>UNAVAILABLE</t>
        </is>
      </c>
      <c r="AO92" s="19" t="inlineStr">
        <is>
          <t>UNAVAILABLE</t>
        </is>
      </c>
      <c r="AP92" s="19" t="inlineStr">
        <is>
          <t>UNAVAILABLE</t>
        </is>
      </c>
      <c r="AQ92" s="18" t="inlineStr">
        <is>
          <t>—</t>
        </is>
      </c>
      <c r="AR92" s="15" t="inlineStr">
        <is>
          <t>time_at_min_pct &gt;= reduction signal 25.0; queued_query_pct_30 &lt;= safe 0.5; p95_wait_capacity_ms_when_queued_30 &lt;= safe 5000; time_at_max_pct &gt;= blocker 20.0</t>
        </is>
      </c>
      <c r="AS92" s="22" t="inlineStr">
        <is>
          <t>{"coverage":1.0,"epoch_maturity":1.0,"sample":1.0,"signal":0.7,"stability":0.91}</t>
        </is>
      </c>
      <c r="AT92" s="22" t="inlineStr">
        <is>
          <t>["EVID-0D49EBE0456D3AC0425D6040","EVID-AE8923033C2E33B284017783","EVID-813B76ABCC2E92AFB79A8CEC","EVID-CB895D6D4CF4E45D8C39BD25","EVID-EDFF0EB8D8E64AA2F579F299","EVID-A8BE846EED36B67068AA40E0","EVID-5744D477056B6D4DDA2B3C9A","EVID-05DD86E0F6613765BFBA1E18","EVID-4D2EA7CDCF00512B9AD8016B"]</t>
        </is>
      </c>
      <c r="AU92" s="22" t="inlineStr">
        <is>
          <t>{"EVID-05DD86E0F6613765BFBA1E18":{"comparator":"","epoch_scope":"CURRENT","evidence_id":"EVID-05DD86E0F6613765BFBA1E18","interpretation":"Forward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8793.82},"EVID-0D49EBE0456D3AC0425D6040":{"comparator":"","epoch_scope":"CURRENT","evidence_id":"EVID-0D49EBE0456D3AC0425D6040","interpretation":"Configured minimum scale.","metric":"min_clusters","observation_window":"current epoch","source":"system.compute.warehouses","source_field":"min_clusters","threshold":null,"unit":"value","value":1},"EVID-4D2EA7CDCF00512B9AD8016B":{"comparator":"","epoch_scope":"CURRENT","evidence_id":"EVID-4D2EA7CDCF00512B9AD8016B","interpretation":"Calendar-day coverage available to the forward cost model.","metric":"cost_history_days","observation_window":"current_epoch","source":"system.billing.usage","source_field":"usage_date","threshold":null,"unit":"days","value":259},"EVID-5744D477056B6D4DDA2B3C9A":{"comparator":"","epoch_scope":"CURRENT","evidence_id":"EVID-5744D477056B6D4DDA2B3C9A","interpretation":"No-change forward DBU cost forecast anchored to the current configuration epoch.","metric":"forward_dbu_cost_365d","observation_window":"forward_365d","source":"derived","source_field":"epoch-runrate-v2.7","threshold":null,"unit":"USD","value":33000.0},"EVID-813B76ABCC2E92AFB79A8CEC":{"comparator":"&lt;= safe","epoch_scope":"CURRENT","evidence_id":"EVID-813B76ABCC2E92AFB79A8CEC","interpretation":"Queue guardrail before reducing baseline capacity.","metric":"queued_query_pct_30","observation_window":"last 30 days within current epoch","source":"system.query.history","source_field":"waiting_at_capacity_duration_ms","threshold":0.5,"unit":"%","value":0.1},"EVID-A8BE846EED36B67068AA40E0":{"comparator":"","epoch_scope":"CURRENT","evidence_id":"EVID-A8BE846EED36B67068AA40E0","interpretation":"Observed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price","threshold":null,"unit":"USD","value":29040.0},"EVID-AE8923033C2E33B284017783":{"comparator":"&gt;= reduction signal","epoch_scope":"CURRENT","evidence_id":"EVID-AE8923033C2E33B284017783","interpretation":"How often the warehouse sits at its minimum.","metric":"time_at_min_pct","observation_window":"current epoch","source":"system.compute.warehouse_events","source_field":"cluster_count","threshold":25.0,"unit":"%","value":65.0},"EVID-CB895D6D4CF4E45D8C39BD25":{"comparator":"&lt;= safe","epoch_scope":"CURRENT","evidence_id":"EVID-CB895D6D4CF4E45D8C39BD25","interpretation":"Queue latency guardrail among queued queries.","metric":"p95_wait_capacity_ms_when_queued_30","observation_window":"last 30 days within current epoch","source":"system.query.history","source_field":"waiting_at_capacity_duration_ms","threshold":5000,"unit":"ms","value":800},"EVID-EDFF0EB8D8E64AA2F579F299":{"comparator":"&gt;= blocker","epoch_scope":"CURRENT","evidence_id":"EVID-EDFF0EB8D8E64AA2F579F299","interpretation":"Sustained scale pressure blocks minimum reduction.","metric":"time_at_max_pct","observation_window":"current epoch","source":"system.compute.warehouse_events","source_field":"cluster_count","threshold":20.0,"unit":"%","value":0.0}}</t>
        </is>
      </c>
      <c r="AV92" s="22" t="inlineStr">
        <is>
          <t>[{"comparator":"&gt;= reduction signal","evidence_id":"EVID-AE8923033C2E33B284017783","metric":"time_at_min_pct","threshold":25.0},{"comparator":"&lt;= safe","evidence_id":"EVID-813B76ABCC2E92AFB79A8CEC","metric":"queued_query_pct_30","threshold":0.5},{"comparator":"&lt;= safe","evidence_id":"EVID-CB895D6D4CF4E45D8C39BD25","metric":"p95_wait_capacity_ms_when_queued_30","threshold":5000},{"comparator":"&gt;= blocker","evidence_id":"EVID-EDFF0EB8D8E64AA2F579F299","metric":"time_at_max_pct","threshold":20.0}]</t>
        </is>
      </c>
      <c r="AW92" s="22" t="inlineStr">
        <is>
          <t>[{"condition":null,"dependency_type":"KNOB","ref_id":"warehouse_size"},{"condition":null,"dependency_type":"KNOB","ref_id":"max_clusters"}]</t>
        </is>
      </c>
      <c r="AX92" s="22" t="inlineStr">
        <is>
          <t>[]</t>
        </is>
      </c>
      <c r="AY92" s="22" t="inlineStr">
        <is>
          <t>[]</t>
        </is>
      </c>
      <c r="AZ92" s="22" t="inlineStr">
        <is>
          <t>[]</t>
        </is>
      </c>
      <c r="BA92" s="22" t="inlineStr">
        <is>
          <t>[]</t>
        </is>
      </c>
    </row>
    <row r="93" ht="32" customHeight="1">
      <c r="A93" s="14" t="inlineStr">
        <is>
          <t>PKG-8A3D702F2E106E66AE0DA92A</t>
        </is>
      </c>
      <c r="B93" s="14" t="inlineStr">
        <is>
          <t>CAND-C08CF1BBC9ECD83993F5BCE2</t>
        </is>
      </c>
      <c r="C93" s="14" t="inlineStr">
        <is>
          <t>WH-AUTOSTOP-REDUCE-001</t>
        </is>
      </c>
      <c r="D93" s="14" t="inlineStr">
        <is>
          <t>2234567890123456</t>
        </is>
      </c>
      <c r="E93" s="14" t="inlineStr">
        <is>
          <t>wh-synth-012</t>
        </is>
      </c>
      <c r="F93" s="15" t="inlineStr">
        <is>
          <t>Supply Chain BI</t>
        </is>
      </c>
      <c r="G93" s="16" t="inlineStr">
        <is>
          <t>supply-chain@databricks.example</t>
        </is>
      </c>
      <c r="H93" s="14" t="inlineStr">
        <is>
          <t>EPOCH-E8E5EC239C9C77845A59BBA4</t>
        </is>
      </c>
      <c r="I93" s="18" t="inlineStr">
        <is>
          <t>auto_stop_minutes</t>
        </is>
      </c>
      <c r="J93" s="18" t="inlineStr">
        <is>
          <t>ACTIONABLE</t>
        </is>
      </c>
      <c r="K93" s="15" t="inlineStr">
        <is>
          <t>COST</t>
        </is>
      </c>
      <c r="L93" s="15" t="n">
        <v>60</v>
      </c>
      <c r="M93" s="15" t="n">
        <v>30</v>
      </c>
      <c r="N93" s="15" t="inlineStr">
        <is>
          <t>Idle-gap evidence supports a lower auto-stop target.</t>
        </is>
      </c>
      <c r="O93" s="21" t="n">
        <v>0.93</v>
      </c>
      <c r="P93" s="18" t="inlineStr">
        <is>
          <t>HIGH</t>
        </is>
      </c>
      <c r="Q93" s="18" t="b">
        <v>1</v>
      </c>
      <c r="R93" s="16" t="inlineStr">
        <is>
          <t>USD</t>
        </is>
      </c>
      <c r="S93" s="18" t="inlineStr">
        <is>
          <t>SAVINGS</t>
        </is>
      </c>
      <c r="T93" s="19" t="n">
        <v>33000</v>
      </c>
      <c r="U93" s="19" t="n">
        <v>8793.82</v>
      </c>
      <c r="V93" s="19" t="n">
        <v>41793.82</v>
      </c>
      <c r="W93" s="19" t="n">
        <v>1980</v>
      </c>
      <c r="X93" s="19" t="n">
        <v>2970</v>
      </c>
      <c r="Y93" s="19" t="n">
        <v>3960</v>
      </c>
      <c r="Z93" s="19" t="n">
        <v>527.63</v>
      </c>
      <c r="AA93" s="19" t="n">
        <v>791.4400000000001</v>
      </c>
      <c r="AB93" s="19" t="n">
        <v>1055.26</v>
      </c>
      <c r="AC93" s="19" t="n">
        <v>2507.63</v>
      </c>
      <c r="AD93" s="19" t="n">
        <v>3761.44</v>
      </c>
      <c r="AE93" s="19" t="n">
        <v>5015.26</v>
      </c>
      <c r="AF93" s="19" t="n">
        <v>36778.56</v>
      </c>
      <c r="AG93" s="19" t="n">
        <v>38032.38</v>
      </c>
      <c r="AH93" s="19" t="n">
        <v>39286.19</v>
      </c>
      <c r="AI93" s="18" t="b">
        <v>0</v>
      </c>
      <c r="AJ93" s="18" t="inlineStr">
        <is>
          <t>NOT_APPLIED</t>
        </is>
      </c>
      <c r="AK93" s="16" t="inlineStr">
        <is>
          <t>—</t>
        </is>
      </c>
      <c r="AL93" s="18" t="inlineStr">
        <is>
          <t>—</t>
        </is>
      </c>
      <c r="AM93" s="19" t="inlineStr">
        <is>
          <t>UNAVAILABLE</t>
        </is>
      </c>
      <c r="AN93" s="19" t="inlineStr">
        <is>
          <t>UNAVAILABLE</t>
        </is>
      </c>
      <c r="AO93" s="19" t="inlineStr">
        <is>
          <t>UNAVAILABLE</t>
        </is>
      </c>
      <c r="AP93" s="19" t="inlineStr">
        <is>
          <t>UNAVAILABLE</t>
        </is>
      </c>
      <c r="AQ93" s="18" t="inlineStr">
        <is>
          <t>—</t>
        </is>
      </c>
      <c r="AR93" s="15" t="inlineStr">
        <is>
          <t>auto_stop_minutes &gt; target 30; idle_gap_count &gt;= evidence minimum 30; cluster_minutes &gt;= evidence minimum 1.0; p95_wait_compute_ms_when_waited_30 &gt;= cold-start blocker 60000; starts_per_active_day_30 &gt;= cold-start blocker 0.5</t>
        </is>
      </c>
      <c r="AS93" s="22" t="inlineStr">
        <is>
          <t>{"coverage":1.0,"epoch_maturity":1.0,"sample":1.0,"signal":1.0,"stability":0.91}</t>
        </is>
      </c>
      <c r="AT93" s="22" t="inlineStr">
        <is>
          <t>["EVID-F7616687094FA66C2BA94FEF","EVID-BA8A411AD317A6E434A8FB8B","EVID-93FF7D4EC33F9B836AB6A5B1","EVID-97BB222802772AFEA5FAD120","EVID-F7625C8D7909DB61C7DD76C3","EVID-04AFCA0AAC20E78DB30EAB77","EVID-8061388EF01AF88966780FE8","EVID-AF279CE943239F24018B7A6B","EVID-A8BE846EED36B67068AA40E0","EVID-5744D477056B6D4DDA2B3C9A","EVID-05DD86E0F6613765BFBA1E18","EVID-4D2EA7CDCF00512B9AD8016B"]</t>
        </is>
      </c>
      <c r="AU93" s="22" t="inlineStr">
        <is>
          <t>{"EVID-04AFCA0AAC20E78DB30EAB77":{"comparator":"&gt;= cold-start blocker","epoch_scope":"CURRENT","evidence_id":"EVID-04AFCA0AAC20E78DB30EAB77","interpretation":"Cold-start sensitivity guardrail at p95 among queries that waited for compute.","metric":"p95_wait_compute_ms_when_waited_30","observation_window":"last 30 days within current epoch","source":"system.query.history","source_field":"waiting_for_compute_duration_ms","threshold":60000,"unit":"ms","value":3500},"EVID-05DD86E0F6613765BFBA1E18":{"comparator":"","epoch_scope":"CURRENT","evidence_id":"EVID-05DD86E0F6613765BFBA1E18","interpretation":"Forward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8793.82},"EVID-4D2EA7CDCF00512B9AD8016B":{"comparator":"","epoch_scope":"CURRENT","evidence_id":"EVID-4D2EA7CDCF00512B9AD8016B","interpretation":"Calendar-day coverage available to the forward cost model.","metric":"cost_history_days","observation_window":"current_epoch","source":"system.billing.usage","source_field":"usage_date","threshold":null,"unit":"days","value":259},"EVID-5744D477056B6D4DDA2B3C9A":{"comparator":"","epoch_scope":"CURRENT","evidence_id":"EVID-5744D477056B6D4DDA2B3C9A","interpretation":"No-change forward DBU cost forecast anchored to the current configuration epoch.","metric":"forward_dbu_cost_365d","observation_window":"forward_365d","source":"derived","source_field":"epoch-runrate-v2.7","threshold":null,"unit":"USD","value":33000.0},"EVID-8061388EF01AF88966780FE8":{"comparator":"&gt;= cold-start blocker","epoch_scope":"CURRENT","evidence_id":"EVID-8061388EF01AF88966780FE8","interpretation":"Restart frequency guardrail.","metric":"starts_per_active_day_30","observation_window":"last 30 days within current epoch","source":"system.compute.warehouse_events","source_field":"event_type=STARTING","threshold":0.5,"unit":"starts/day","value":0.2},"EVID-93FF7D4EC33F9B836AB6A5B1":{"comparator":"&gt;= evidence minimum","epoch_scope":"CURRENT","evidence_id":"EVID-93FF7D4EC33F9B836AB6A5B1","interpretation":"Non-overlapping inter-query gap sample supporting the auto-stop counterfactual.","metric":"idle_gap_count","observation_window":"current epoch","source":"system.query.history","source_field":"start_time/end_time","threshold":30,"unit":"gaps","value":440},"EVID-97BB222802772AFEA5FAD120":{"comparator":"&gt;= evidence minimum","epoch_scope":"CURRENT","evidence_id":"EVID-97BB222802772AFEA5FAD120","interpretation":"Observed resource-time basis used to convert idle time into cost effect.","metric":"cluster_minutes","observation_window":"current epoch","source":"system.compute.warehouse_events","source_field":"cluster_count/event_time","threshold":1.0,"unit":"cluster-minutes","value":30000.0},"EVID-A8BE846EED36B67068AA40E0":{"comparator":"","epoch_scope":"CURRENT","evidence_id":"EVID-A8BE846EED36B67068AA40E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price","threshold":null,"unit":"USD","value":29040.0},"EVID-AF279CE943239F24018B7A6B":{"comparator":"","epoch_scope":"CURRENT","evidence_id":"EVID-AF279CE943239F24018B7A6B","interpretation":"Estimated additional off-time at the candidate target.","metric":"estimated_additional_off_minutes","observation_window":"current epoch","source":"system.query.history","source_field":"inter-query gap","threshold":null,"unit":"minutes","value":3600.0},"EVID-BA8A411AD317A6E434A8FB8B":{"comparator":"","epoch_scope":"CURRENT","evidence_id":"EVID-BA8A411AD317A6E434A8FB8B","interpretation":"Activity density selects the auto-stop target.","metric":"queries_per_active_day_30","observation_window":"last 30 days within current epoch","source":"system.query.history","source_field":"start_time","threshold":null,"unit":"queries/day","value":366.67},"EVID-F7616687094FA66C2BA94FEF":{"comparator":"&gt; target","epoch_scope":"CURRENT","evidence_id":"EVID-F7616687094FA66C2BA94FEF","interpretation":"Current idle termination setting versus deterministic policy target.","metric":"auto_stop_minutes","observation_window":"current epoch","source":"system.compute.warehouses","source_field":"auto_stop_minutes","threshold":30,"unit":"minutes","value":60},"EVID-F7625C8D7909DB61C7DD76C3":{"comparator":"","epoch_scope":"CURRENT","evidence_id":"EVID-F7625C8D7909DB61C7DD76C3","interpretation":"Queries that waited for compute; the wait percentile is computed over these queries only.","metric":"compute_wait_queries_30","observation_window":"last 30 days within current epoch","source":"system.query.history","source_field":"waiting_for_compute_duration_ms","threshold":null,"unit":"queries","value":6}}</t>
        </is>
      </c>
      <c r="AV93" s="22" t="inlineStr">
        <is>
          <t>[{"comparator":"&gt; target","evidence_id":"EVID-F7616687094FA66C2BA94FEF","metric":"auto_stop_minutes","threshold":30},{"comparator":"&gt;= evidence minimum","evidence_id":"EVID-93FF7D4EC33F9B836AB6A5B1","metric":"idle_gap_count","threshold":30},{"comparator":"&gt;= evidence minimum","evidence_id":"EVID-97BB222802772AFEA5FAD120","metric":"cluster_minutes","threshold":1.0},{"comparator":"&gt;= cold-start blocker","evidence_id":"EVID-04AFCA0AAC20E78DB30EAB77","metric":"p95_wait_compute_ms_when_waited_30","threshold":60000},{"comparator":"&gt;= cold-start blocker","evidence_id":"EVID-8061388EF01AF88966780FE8","metric":"starts_per_active_day_30","threshold":0.5}]</t>
        </is>
      </c>
      <c r="AW93" s="22" t="inlineStr">
        <is>
          <t>[{"condition":null,"dependency_type":"KNOB","ref_id":"min_clusters"}]</t>
        </is>
      </c>
      <c r="AX93" s="22" t="inlineStr">
        <is>
          <t>[]</t>
        </is>
      </c>
      <c r="AY93" s="22" t="inlineStr">
        <is>
          <t>[]</t>
        </is>
      </c>
      <c r="AZ93" s="22" t="inlineStr">
        <is>
          <t>[{"execution_state":"PENDING_REEVALUATION","scenario_id":"SCN-CD13BC97911EDD734CF17B6B","scenario_name":"Plan A — Optimize current warehouse type","step":3}]</t>
        </is>
      </c>
      <c r="BA93" s="22" t="inlineStr">
        <is>
          <t>[]</t>
        </is>
      </c>
    </row>
    <row r="94" ht="32" customHeight="1">
      <c r="A94" s="14" t="inlineStr">
        <is>
          <t>PKG-8A3D702F2E106E66AE0DA92A</t>
        </is>
      </c>
      <c r="B94" s="14" t="inlineStr">
        <is>
          <t>CAND-A33DFC4B60027DE5B92ED694</t>
        </is>
      </c>
      <c r="C94" s="14" t="inlineStr">
        <is>
          <t>WH-SERVERLESS-MIGRATE-001</t>
        </is>
      </c>
      <c r="D94" s="14" t="inlineStr">
        <is>
          <t>2234567890123456</t>
        </is>
      </c>
      <c r="E94" s="14" t="inlineStr">
        <is>
          <t>wh-synth-012</t>
        </is>
      </c>
      <c r="F94" s="15" t="inlineStr">
        <is>
          <t>Supply Chain BI</t>
        </is>
      </c>
      <c r="G94" s="16" t="inlineStr">
        <is>
          <t>supply-chain@databricks.example</t>
        </is>
      </c>
      <c r="H94" s="14" t="inlineStr">
        <is>
          <t>EPOCH-E8E5EC239C9C77845A59BBA4</t>
        </is>
      </c>
      <c r="I94" s="18" t="inlineStr">
        <is>
          <t>warehouse_type</t>
        </is>
      </c>
      <c r="J94" s="18" t="inlineStr">
        <is>
          <t>TEST_REQUIRED</t>
        </is>
      </c>
      <c r="K94" s="15" t="inlineStr">
        <is>
          <t>MIGRATION, COST_AND_PERFORMANCE, OPERATIONS</t>
        </is>
      </c>
      <c r="L94" s="15" t="inlineStr">
        <is>
          <t>PRO</t>
        </is>
      </c>
      <c r="M94" s="15" t="inlineStr">
        <is>
          <t>SERVERLESS</t>
        </is>
      </c>
      <c r="N94" s="15" t="inlineStr">
        <is>
          <t>Serverless is evaluated as a separate migration experiment with a pre-canary DBU/AWS counterfactual and deterministic compatibility gate.</t>
        </is>
      </c>
      <c r="O94" s="21" t="n">
        <v>0.78</v>
      </c>
      <c r="P94" s="18" t="inlineStr">
        <is>
          <t>MEDIUM</t>
        </is>
      </c>
      <c r="Q94" s="18" t="b">
        <v>1</v>
      </c>
      <c r="R94" s="16" t="inlineStr">
        <is>
          <t>USD</t>
        </is>
      </c>
      <c r="S94" s="18" t="inlineStr">
        <is>
          <t>SAVINGS</t>
        </is>
      </c>
      <c r="T94" s="19" t="n">
        <v>33000</v>
      </c>
      <c r="U94" s="19" t="n">
        <v>8793.82</v>
      </c>
      <c r="V94" s="19" t="n">
        <v>41793.82</v>
      </c>
      <c r="W94" s="19" t="n">
        <v>6693.69</v>
      </c>
      <c r="X94" s="19" t="n">
        <v>13270.27</v>
      </c>
      <c r="Y94" s="19" t="n">
        <v>19846.85</v>
      </c>
      <c r="Z94" s="19" t="n">
        <v>8793.82</v>
      </c>
      <c r="AA94" s="19" t="n">
        <v>8793.82</v>
      </c>
      <c r="AB94" s="19" t="n">
        <v>8793.82</v>
      </c>
      <c r="AC94" s="19" t="n">
        <v>15487.51</v>
      </c>
      <c r="AD94" s="19" t="n">
        <v>22064.09</v>
      </c>
      <c r="AE94" s="19" t="n">
        <v>28640.67</v>
      </c>
      <c r="AF94" s="19" t="n">
        <v>13153.15</v>
      </c>
      <c r="AG94" s="19" t="n">
        <v>19729.73</v>
      </c>
      <c r="AH94" s="19" t="n">
        <v>26306.31</v>
      </c>
      <c r="AI94" s="18" t="b">
        <v>0</v>
      </c>
      <c r="AJ94" s="18" t="inlineStr">
        <is>
          <t>NOT_APPLIED</t>
        </is>
      </c>
      <c r="AK94" s="16" t="inlineStr">
        <is>
          <t>—</t>
        </is>
      </c>
      <c r="AL94" s="18" t="inlineStr">
        <is>
          <t>—</t>
        </is>
      </c>
      <c r="AM94" s="19" t="inlineStr">
        <is>
          <t>UNAVAILABLE</t>
        </is>
      </c>
      <c r="AN94" s="19" t="inlineStr">
        <is>
          <t>UNAVAILABLE</t>
        </is>
      </c>
      <c r="AO94" s="19" t="inlineStr">
        <is>
          <t>UNAVAILABLE</t>
        </is>
      </c>
      <c r="AP94" s="19" t="inlineStr">
        <is>
          <t>UNAVAILABLE</t>
        </is>
      </c>
      <c r="AQ94" s="18" t="inlineStr">
        <is>
          <t>—</t>
        </is>
      </c>
      <c r="AR94" s="15" t="inlineStr">
        <is>
          <t>No numeric threshold</t>
        </is>
      </c>
      <c r="AS94" s="22" t="inlineStr">
        <is>
          <t>{"coverage":1.0,"epoch_maturity":1.0,"sample":1.0,"signal":1.0,"stability":0.91}</t>
        </is>
      </c>
      <c r="AT94" s="22" t="inlineStr">
        <is>
          <t>["EVID-2D14233C22D92C6645004C4B","EVID-CDF4EEEA440FFA47B7C7CA28","EVID-D9FA7D75F1F9F500B957BAF9","EVID-2B410DD070DE49F4BA280AC0","EVID-15E61DCCCDC9640AEECEDE52","EVID-35105E35476552EC4996467A","EVID-2ED156DA3F1E6A8E1ECD0756","EVID-76A6F57147432ADF9195AB8A","EVID-30684DDD3BC0545735D7BE84","EVID-BD5A2CE5E7D1A27A48EA67AD","EVID-AFCCD0D5FA6B5D57006462F7","EVID-C5ED523E62D944AA6BE91E28","EVID-21BAEB92A93F4EA1EFA4BE25","EVID-A8BE846EED36B67068AA40E0","EVID-5744D477056B6D4DDA2B3C9A","EVID-05DD86E0F6613765BFBA1E18","EVID-4D2EA7CDCF00512B9AD8016B"]</t>
        </is>
      </c>
      <c r="AU94" s="22" t="inlineStr">
        <is>
          <t>{"EVID-05DD86E0F6613765BFBA1E18":{"comparator":"","epoch_scope":"CURRENT","evidence_id":"EVID-05DD86E0F6613765BFBA1E18","interpretation":"Forward customer AWS infrastructure cost model for the current configuration epoch; null when unavailable.","metric":"forward_aws_cost_365d","observation_window":"forward_365d","source":"derived","source_field":"aws_current_epoch_cost_model","threshold":null,"unit":"USD","value":8793.82},"EVID-15E61DCCCDC9640AEECEDE52":{"comparator":"","epoch_scope":"CURRENT","evidence_id":"EVID-15E61DCCCDC9640AEECEDE52","interpretation":"Job workload mix context.","metric":"job_queries_30","observation_window":"last 30 days within current epoch","source":"system.query.history","source_field":"query_source.job_info.job_id","threshold":null,"unit":"queries","value":0},"EVID-21BAEB92A93F4EA1EFA4BE25":{"comparator":"","epoch_scope":"CURRENT","evidence_id":"EVID-21BAEB92A93F4EA1EFA4BE25","interpretation":"Potential migration-review signal only; this does not prove an external legacy Hive metastore is configured.","metric":"hive_metastore_reference_queries_30","observation_window":"last 30 days within current epoch","source":"system.query.history","source_field":"statement_text (aggregated pattern only)","threshold":null,"unit":"queries","value":0},"EVID-2B410DD070DE49F4BA280AC0":{"comparator":"","epoch_scope":"CURRENT","evidence_id":"EVID-2B410DD070DE49F4BA280AC0","interpretation":"Dashboard workload mix context.","metric":"dashboard_queries_30","observation_window":"last 30 days within current epoch","source":"system.query.history","source_field":"query_source.dashboard_id","threshold":null,"unit":"queries","value":0},"EVID-2D14233C22D92C6645004C4B":{"comparator":"","epoch_scope":"CURRENT","evidence_id":"EVID-2D14233C22D92C6645004C4B","interpretation":"Current warehouse type.","metric":"warehouse_type","observation_window":"current epoch","source":"system.compute.warehouses","source_field":"warehouse_type","threshold":null,"unit":"value","value":"PRO"},"EVID-2ED156DA3F1E6A8E1ECD0756":{"comparator":"","epoch_scope":"CURRENT","evidence_id":"EVID-2ED156DA3F1E6A8E1ECD0756","interpretation":"Genie workload mix context.","metric":"genie_queries_30","observation_window":"last 30 days within current epoch","source":"system.query.history","source_field":"query_source.genie_space_id","threshold":null,"unit":"queries","value":0},"EVID-30684DDD3BC0545735D7BE84":{"comparator":"","epoch_scope":"CURRENT","evidence_id":"EVID-30684DDD3BC0545735D7BE84","interpretation":"Databricks SQL editor/query workload mix context.","metric":"sql_editor_queries_30","observation_window":"last 30 days within current epoch","source":"system.query.history","source_field":"query_source.sql_query_id","threshold":null,"unit":"queries","value":880},"EVID-35105E35476552EC4996467A":{"comparator":"","epoch_scope":"CURRENT","evidence_id":"EVID-35105E35476552EC4996467A","interpretation":"Notebook workload mix context.","metric":"notebook_queries_30","observation_window":"last 30 days within current epoch","source":"system.query.history","source_field":"query_source.notebook_id","threshold":null,"unit":"queries","value":0},"EVID-4D2EA7CDCF00512B9AD8016B":{"comparator":"","epoch_scope":"CURRENT","evidence_id":"EVID-4D2EA7CDCF00512B9AD8016B","interpretation":"Calendar-day coverage available to the forward cost model.","metric":"cost_history_days","observation_window":"current_epoch","source":"system.billing.usage","source_field":"usage_date","threshold":null,"unit":"days","value":259},"EVID-5744D477056B6D4DDA2B3C9A":{"comparator":"","epoch_scope":"CURRENT","evidence_id":"EVID-5744D477056B6D4DDA2B3C9A","interpretation":"No-change forward DBU cost forecast anchored to the current configuration epoch.","metric":"forward_dbu_cost_365d","observation_window":"forward_365d","source":"derived","source_field":"epoch-runrate-v2.7","threshold":null,"unit":"USD","value":33000.0},"EVID-76A6F57147432ADF9195AB8A":{"comparator":"","epoch_scope":"CURRENT","evidence_id":"EVID-76A6F57147432ADF9195AB8A","interpretation":"Alert workload mix context.","metric":"alert_queries_30","observation_window":"last 30 days within current epoch","source":"system.query.history","source_field":"query_source.alert_id","threshold":null,"unit":"queries","value":0},"EVID-A8BE846EED36B67068AA40E0":{"comparator":"","epoch_scope":"CURRENT","evidence_id":"EVID-A8BE846EED36B67068AA40E0","interpretation":"Observed trailing-365-day Databricks SQL list cost attributed to the warehouse.","metric":"actual_dbu_cost_365d","observation_window":"trailing_365d","source":"system.billing.usage","source_field":"usage_quantity × historical effective list price","threshold":null,"unit":"USD","value":29040.0},"EVID-AFCCD0D5FA6B5D57006462F7":{"comparator":"","epoch_scope":"CURRENT","evidence_id":"EVID-AFCCD0D5FA6B5D57006462F7","interpretation":"Tableau client workload mix context.","metric":"tableau_queries_30","observation_window":"last 30 days within current epoch","source":"system.query.history","source_field":"client_application","threshold":null,"unit":"queries","value":0},"EVID-BD5A2CE5E7D1A27A48EA67AD":{"comparator":"","epoch_scope":"CURRENT","evidence_id":"EVID-BD5A2CE5E7D1A27A48EA67AD","interpretation":"Power BI client workload mix context.","metric":"power_bi_queries_30","observation_window":"last 30 days within current epoch","source":"system.query.history","source_field":"client_application","threshold":null,"unit":"queries","value":8250},"EVID-C5ED523E62D944AA6BE91E28":{"comparator":"","epoch_scope":"CURRENT","evidence_id":"EVID-C5ED523E62D944AA6BE91E28","interpretation":"Coverage available for deterministic pattern checks. Raw SQL text is not exported.","metric":"statement_text_visible_pct_30","observation_window":"last 30 days within current epoch","source":"system.query.history","source_field":"statement_text","threshold":null,"unit":"%","value":100.0},"EVID-CDF4EEEA440FFA47B7C7CA28":{"comparator":"","epoch_scope":"CURRENT","evidence_id":"EVID-CDF4EEEA440FFA47B7C7CA28","interpretation":"Observed billing evidence; not used as current configuration source.","metric":"serverless_usage_pct_365","observation_window":"trailing 365 days","source":"system.billing.usage","source_field":"product_features.is_serverless","threshold":null,"unit":"%","value":0.0},"EVID-D9FA7D75F1F9F500B957BAF9":{"comparator":"","epoch_scope":"CURRENT","evidence_id":"EVID-D9FA7D75F1F9F500B957BAF9","interpretation":"Query-tag coverage supplied to HITL for workload attribution and migration validation.","metric":"tagged_query_pct_30","observation_window":"last 30 days within current epoch","source":"system.query.history","source_field":"query_tags","threshold":null,"unit":"%","value":70.0}}</t>
        </is>
      </c>
      <c r="AV94" s="22" t="inlineStr">
        <is>
          <t>[]</t>
        </is>
      </c>
      <c r="AW94" s="22" t="inlineStr">
        <is>
          <t>[]</t>
        </is>
      </c>
      <c r="AX94" s="22" t="inlineStr">
        <is>
          <t>["warehouse_size","max_clusters","min_clusters","auto_stop_minutes"]</t>
        </is>
      </c>
      <c r="AY94" s="22" t="inlineStr">
        <is>
          <t>["A_B_COST_PERFORMANCE_VALIDATION_REQUIRED","SERVERLESS_WORKSPACE_CAPABILITY_NOT_CONFIRMED_FROM_SYSTEM_TABLES"]</t>
        </is>
      </c>
      <c r="AZ94" s="22" t="inlineStr">
        <is>
          <t>[{"execution_state":"READY_FOR_CANARY","scenario_id":"SCN-D90F0090AC8A9492249F19B8","scenario_name":"Plan B — Serverless migration experiment","step":2}]</t>
        </is>
      </c>
      <c r="BA94" s="22" t="inlineStr">
        <is>
          <t>[]</t>
        </is>
      </c>
    </row>
  </sheetData>
  <mergeCells count="8">
    <mergeCell ref="A3:H3"/>
    <mergeCell ref="O3:P3"/>
    <mergeCell ref="AJ3:AQ3"/>
    <mergeCell ref="AR3:BA3"/>
    <mergeCell ref="A2:BA2"/>
    <mergeCell ref="I3:N3"/>
    <mergeCell ref="A1:BA1"/>
    <mergeCell ref="Q3:AI3"/>
  </mergeCells>
  <conditionalFormatting sqref="J5:J94">
    <cfRule type="expression" priority="1" dxfId="0">
      <formula>J5="ACTIONABLE"</formula>
    </cfRule>
    <cfRule type="expression" priority="2" dxfId="0">
      <formula>J5="RECOMMENDED"</formula>
    </cfRule>
    <cfRule type="expression" priority="3" dxfId="0">
      <formula>J5="HIGH"</formula>
    </cfRule>
    <cfRule type="expression" priority="4" dxfId="0">
      <formula>J5="SUFFICIENT"</formula>
    </cfRule>
    <cfRule type="expression" priority="5" dxfId="0">
      <formula>J5="PASS"</formula>
    </cfRule>
    <cfRule type="expression" priority="6" dxfId="0">
      <formula>J5="REALIZED"</formula>
    </cfRule>
    <cfRule type="expression" priority="7" dxfId="3">
      <formula>J5="TEST_REQUIRED"</formula>
    </cfRule>
    <cfRule type="expression" priority="8" dxfId="3">
      <formula>J5="REVIEW"</formula>
    </cfRule>
    <cfRule type="expression" priority="9" dxfId="3">
      <formula>J5="MEDIUM"</formula>
    </cfRule>
    <cfRule type="expression" priority="10" dxfId="3">
      <formula>J5="PARTIAL"</formula>
    </cfRule>
    <cfRule type="expression" priority="11" dxfId="3">
      <formula>J5="REQUIRES_VALIDATION"</formula>
    </cfRule>
    <cfRule type="expression" priority="12" dxfId="3">
      <formula>J5="VALIDATING"</formula>
    </cfRule>
    <cfRule type="expression" priority="13" dxfId="1">
      <formula>J5="BLOCKED"</formula>
    </cfRule>
    <cfRule type="expression" priority="14" dxfId="1">
      <formula>J5="LOW"</formula>
    </cfRule>
    <cfRule type="expression" priority="15" dxfId="1">
      <formula>J5="INSUFFICIENT_EVIDENCE"</formula>
    </cfRule>
    <cfRule type="expression" priority="16" dxfId="1">
      <formula>J5="FAILED_VALIDATION"</formula>
    </cfRule>
    <cfRule type="expression" priority="17" dxfId="1">
      <formula>J5="ROLLED_BACK"</formula>
    </cfRule>
    <cfRule type="expression" priority="18" dxfId="0">
      <formula>J5="SAVINGS"</formula>
    </cfRule>
    <cfRule type="expression" priority="19" dxfId="1">
      <formula>J5="COST_INCREASE"</formula>
    </cfRule>
    <cfRule type="expression" priority="20" dxfId="3">
      <formula>J5="MIXED"</formula>
    </cfRule>
    <cfRule type="expression" priority="21" dxfId="2">
      <formula>J5="NO_CHANGE"</formula>
    </cfRule>
    <cfRule type="expression" priority="22" dxfId="2">
      <formula>J5="NOT_APPLICABLE"</formula>
    </cfRule>
    <cfRule type="expression" priority="23" dxfId="4">
      <formula>J5="ALTERNATIVE"</formula>
    </cfRule>
    <cfRule type="expression" priority="24" dxfId="2">
      <formula>J5="UNAVAILABLE"</formula>
    </cfRule>
    <cfRule type="expression" priority="25" dxfId="2">
      <formula>J5="NOT_APPLIED"</formula>
    </cfRule>
    <cfRule type="expression" priority="26" dxfId="2">
      <formula>J5="UNKNOWN"</formula>
    </cfRule>
  </conditionalFormatting>
  <conditionalFormatting sqref="P5:P94">
    <cfRule type="expression" priority="27" dxfId="0">
      <formula>P5="ACTIONABLE"</formula>
    </cfRule>
    <cfRule type="expression" priority="28" dxfId="0">
      <formula>P5="RECOMMENDED"</formula>
    </cfRule>
    <cfRule type="expression" priority="29" dxfId="0">
      <formula>P5="HIGH"</formula>
    </cfRule>
    <cfRule type="expression" priority="30" dxfId="0">
      <formula>P5="SUFFICIENT"</formula>
    </cfRule>
    <cfRule type="expression" priority="31" dxfId="0">
      <formula>P5="PASS"</formula>
    </cfRule>
    <cfRule type="expression" priority="32" dxfId="0">
      <formula>P5="REALIZED"</formula>
    </cfRule>
    <cfRule type="expression" priority="33" dxfId="3">
      <formula>P5="TEST_REQUIRED"</formula>
    </cfRule>
    <cfRule type="expression" priority="34" dxfId="3">
      <formula>P5="REVIEW"</formula>
    </cfRule>
    <cfRule type="expression" priority="35" dxfId="3">
      <formula>P5="MEDIUM"</formula>
    </cfRule>
    <cfRule type="expression" priority="36" dxfId="3">
      <formula>P5="PARTIAL"</formula>
    </cfRule>
    <cfRule type="expression" priority="37" dxfId="3">
      <formula>P5="REQUIRES_VALIDATION"</formula>
    </cfRule>
    <cfRule type="expression" priority="38" dxfId="3">
      <formula>P5="VALIDATING"</formula>
    </cfRule>
    <cfRule type="expression" priority="39" dxfId="1">
      <formula>P5="BLOCKED"</formula>
    </cfRule>
    <cfRule type="expression" priority="40" dxfId="1">
      <formula>P5="LOW"</formula>
    </cfRule>
    <cfRule type="expression" priority="41" dxfId="1">
      <formula>P5="INSUFFICIENT_EVIDENCE"</formula>
    </cfRule>
    <cfRule type="expression" priority="42" dxfId="1">
      <formula>P5="FAILED_VALIDATION"</formula>
    </cfRule>
    <cfRule type="expression" priority="43" dxfId="1">
      <formula>P5="ROLLED_BACK"</formula>
    </cfRule>
    <cfRule type="expression" priority="44" dxfId="0">
      <formula>P5="SAVINGS"</formula>
    </cfRule>
    <cfRule type="expression" priority="45" dxfId="1">
      <formula>P5="COST_INCREASE"</formula>
    </cfRule>
    <cfRule type="expression" priority="46" dxfId="3">
      <formula>P5="MIXED"</formula>
    </cfRule>
    <cfRule type="expression" priority="47" dxfId="2">
      <formula>P5="NO_CHANGE"</formula>
    </cfRule>
    <cfRule type="expression" priority="48" dxfId="2">
      <formula>P5="NOT_APPLICABLE"</formula>
    </cfRule>
    <cfRule type="expression" priority="49" dxfId="4">
      <formula>P5="ALTERNATIVE"</formula>
    </cfRule>
    <cfRule type="expression" priority="50" dxfId="2">
      <formula>P5="UNAVAILABLE"</formula>
    </cfRule>
    <cfRule type="expression" priority="51" dxfId="2">
      <formula>P5="NOT_APPLIED"</formula>
    </cfRule>
    <cfRule type="expression" priority="52" dxfId="2">
      <formula>P5="UNKNOWN"</formula>
    </cfRule>
  </conditionalFormatting>
  <conditionalFormatting sqref="AJ5:AJ94">
    <cfRule type="expression" priority="53" dxfId="0">
      <formula>AJ5="ACTIONABLE"</formula>
    </cfRule>
    <cfRule type="expression" priority="54" dxfId="0">
      <formula>AJ5="RECOMMENDED"</formula>
    </cfRule>
    <cfRule type="expression" priority="55" dxfId="0">
      <formula>AJ5="HIGH"</formula>
    </cfRule>
    <cfRule type="expression" priority="56" dxfId="0">
      <formula>AJ5="SUFFICIENT"</formula>
    </cfRule>
    <cfRule type="expression" priority="57" dxfId="0">
      <formula>AJ5="PASS"</formula>
    </cfRule>
    <cfRule type="expression" priority="58" dxfId="0">
      <formula>AJ5="REALIZED"</formula>
    </cfRule>
    <cfRule type="expression" priority="59" dxfId="3">
      <formula>AJ5="TEST_REQUIRED"</formula>
    </cfRule>
    <cfRule type="expression" priority="60" dxfId="3">
      <formula>AJ5="REVIEW"</formula>
    </cfRule>
    <cfRule type="expression" priority="61" dxfId="3">
      <formula>AJ5="MEDIUM"</formula>
    </cfRule>
    <cfRule type="expression" priority="62" dxfId="3">
      <formula>AJ5="PARTIAL"</formula>
    </cfRule>
    <cfRule type="expression" priority="63" dxfId="3">
      <formula>AJ5="REQUIRES_VALIDATION"</formula>
    </cfRule>
    <cfRule type="expression" priority="64" dxfId="3">
      <formula>AJ5="VALIDATING"</formula>
    </cfRule>
    <cfRule type="expression" priority="65" dxfId="1">
      <formula>AJ5="BLOCKED"</formula>
    </cfRule>
    <cfRule type="expression" priority="66" dxfId="1">
      <formula>AJ5="LOW"</formula>
    </cfRule>
    <cfRule type="expression" priority="67" dxfId="1">
      <formula>AJ5="INSUFFICIENT_EVIDENCE"</formula>
    </cfRule>
    <cfRule type="expression" priority="68" dxfId="1">
      <formula>AJ5="FAILED_VALIDATION"</formula>
    </cfRule>
    <cfRule type="expression" priority="69" dxfId="1">
      <formula>AJ5="ROLLED_BACK"</formula>
    </cfRule>
    <cfRule type="expression" priority="70" dxfId="0">
      <formula>AJ5="SAVINGS"</formula>
    </cfRule>
    <cfRule type="expression" priority="71" dxfId="1">
      <formula>AJ5="COST_INCREASE"</formula>
    </cfRule>
    <cfRule type="expression" priority="72" dxfId="3">
      <formula>AJ5="MIXED"</formula>
    </cfRule>
    <cfRule type="expression" priority="73" dxfId="2">
      <formula>AJ5="NO_CHANGE"</formula>
    </cfRule>
    <cfRule type="expression" priority="74" dxfId="2">
      <formula>AJ5="NOT_APPLICABLE"</formula>
    </cfRule>
    <cfRule type="expression" priority="75" dxfId="4">
      <formula>AJ5="ALTERNATIVE"</formula>
    </cfRule>
    <cfRule type="expression" priority="76" dxfId="2">
      <formula>AJ5="UNAVAILABLE"</formula>
    </cfRule>
    <cfRule type="expression" priority="77" dxfId="2">
      <formula>AJ5="NOT_APPLIED"</formula>
    </cfRule>
    <cfRule type="expression" priority="78" dxfId="2">
      <formula>AJ5="UNKNOWN"</formula>
    </cfRule>
  </conditionalFormatting>
  <conditionalFormatting sqref="AL5:AL94">
    <cfRule type="expression" priority="79" dxfId="0">
      <formula>AL5="ACTIONABLE"</formula>
    </cfRule>
    <cfRule type="expression" priority="80" dxfId="0">
      <formula>AL5="RECOMMENDED"</formula>
    </cfRule>
    <cfRule type="expression" priority="81" dxfId="0">
      <formula>AL5="HIGH"</formula>
    </cfRule>
    <cfRule type="expression" priority="82" dxfId="0">
      <formula>AL5="SUFFICIENT"</formula>
    </cfRule>
    <cfRule type="expression" priority="83" dxfId="0">
      <formula>AL5="PASS"</formula>
    </cfRule>
    <cfRule type="expression" priority="84" dxfId="0">
      <formula>AL5="REALIZED"</formula>
    </cfRule>
    <cfRule type="expression" priority="85" dxfId="3">
      <formula>AL5="TEST_REQUIRED"</formula>
    </cfRule>
    <cfRule type="expression" priority="86" dxfId="3">
      <formula>AL5="REVIEW"</formula>
    </cfRule>
    <cfRule type="expression" priority="87" dxfId="3">
      <formula>AL5="MEDIUM"</formula>
    </cfRule>
    <cfRule type="expression" priority="88" dxfId="3">
      <formula>AL5="PARTIAL"</formula>
    </cfRule>
    <cfRule type="expression" priority="89" dxfId="3">
      <formula>AL5="REQUIRES_VALIDATION"</formula>
    </cfRule>
    <cfRule type="expression" priority="90" dxfId="3">
      <formula>AL5="VALIDATING"</formula>
    </cfRule>
    <cfRule type="expression" priority="91" dxfId="1">
      <formula>AL5="BLOCKED"</formula>
    </cfRule>
    <cfRule type="expression" priority="92" dxfId="1">
      <formula>AL5="LOW"</formula>
    </cfRule>
    <cfRule type="expression" priority="93" dxfId="1">
      <formula>AL5="INSUFFICIENT_EVIDENCE"</formula>
    </cfRule>
    <cfRule type="expression" priority="94" dxfId="1">
      <formula>AL5="FAILED_VALIDATION"</formula>
    </cfRule>
    <cfRule type="expression" priority="95" dxfId="1">
      <formula>AL5="ROLLED_BACK"</formula>
    </cfRule>
    <cfRule type="expression" priority="96" dxfId="0">
      <formula>AL5="SAVINGS"</formula>
    </cfRule>
    <cfRule type="expression" priority="97" dxfId="1">
      <formula>AL5="COST_INCREASE"</formula>
    </cfRule>
    <cfRule type="expression" priority="98" dxfId="3">
      <formula>AL5="MIXED"</formula>
    </cfRule>
    <cfRule type="expression" priority="99" dxfId="2">
      <formula>AL5="NO_CHANGE"</formula>
    </cfRule>
    <cfRule type="expression" priority="100" dxfId="2">
      <formula>AL5="NOT_APPLICABLE"</formula>
    </cfRule>
    <cfRule type="expression" priority="101" dxfId="4">
      <formula>AL5="ALTERNATIVE"</formula>
    </cfRule>
    <cfRule type="expression" priority="102" dxfId="2">
      <formula>AL5="UNAVAILABLE"</formula>
    </cfRule>
    <cfRule type="expression" priority="103" dxfId="2">
      <formula>AL5="NOT_APPLIED"</formula>
    </cfRule>
    <cfRule type="expression" priority="104" dxfId="2">
      <formula>AL5="UNKNOWN"</formula>
    </cfRule>
  </conditionalFormatting>
  <conditionalFormatting sqref="S5:S94">
    <cfRule type="expression" priority="105" dxfId="0">
      <formula>S5="ACTIONABLE"</formula>
    </cfRule>
    <cfRule type="expression" priority="106" dxfId="0">
      <formula>S5="RECOMMENDED"</formula>
    </cfRule>
    <cfRule type="expression" priority="107" dxfId="0">
      <formula>S5="HIGH"</formula>
    </cfRule>
    <cfRule type="expression" priority="108" dxfId="0">
      <formula>S5="SUFFICIENT"</formula>
    </cfRule>
    <cfRule type="expression" priority="109" dxfId="0">
      <formula>S5="PASS"</formula>
    </cfRule>
    <cfRule type="expression" priority="110" dxfId="0">
      <formula>S5="REALIZED"</formula>
    </cfRule>
    <cfRule type="expression" priority="111" dxfId="3">
      <formula>S5="TEST_REQUIRED"</formula>
    </cfRule>
    <cfRule type="expression" priority="112" dxfId="3">
      <formula>S5="REVIEW"</formula>
    </cfRule>
    <cfRule type="expression" priority="113" dxfId="3">
      <formula>S5="MEDIUM"</formula>
    </cfRule>
    <cfRule type="expression" priority="114" dxfId="3">
      <formula>S5="PARTIAL"</formula>
    </cfRule>
    <cfRule type="expression" priority="115" dxfId="3">
      <formula>S5="REQUIRES_VALIDATION"</formula>
    </cfRule>
    <cfRule type="expression" priority="116" dxfId="3">
      <formula>S5="VALIDATING"</formula>
    </cfRule>
    <cfRule type="expression" priority="117" dxfId="1">
      <formula>S5="BLOCKED"</formula>
    </cfRule>
    <cfRule type="expression" priority="118" dxfId="1">
      <formula>S5="LOW"</formula>
    </cfRule>
    <cfRule type="expression" priority="119" dxfId="1">
      <formula>S5="INSUFFICIENT_EVIDENCE"</formula>
    </cfRule>
    <cfRule type="expression" priority="120" dxfId="1">
      <formula>S5="FAILED_VALIDATION"</formula>
    </cfRule>
    <cfRule type="expression" priority="121" dxfId="1">
      <formula>S5="ROLLED_BACK"</formula>
    </cfRule>
    <cfRule type="expression" priority="122" dxfId="0">
      <formula>S5="SAVINGS"</formula>
    </cfRule>
    <cfRule type="expression" priority="123" dxfId="1">
      <formula>S5="COST_INCREASE"</formula>
    </cfRule>
    <cfRule type="expression" priority="124" dxfId="3">
      <formula>S5="MIXED"</formula>
    </cfRule>
    <cfRule type="expression" priority="125" dxfId="2">
      <formula>S5="NO_CHANGE"</formula>
    </cfRule>
    <cfRule type="expression" priority="126" dxfId="2">
      <formula>S5="NOT_APPLICABLE"</formula>
    </cfRule>
    <cfRule type="expression" priority="127" dxfId="4">
      <formula>S5="ALTERNATIVE"</formula>
    </cfRule>
    <cfRule type="expression" priority="128" dxfId="2">
      <formula>S5="UNAVAILABLE"</formula>
    </cfRule>
    <cfRule type="expression" priority="129" dxfId="2">
      <formula>S5="NOT_APPLIED"</formula>
    </cfRule>
    <cfRule type="expression" priority="130" dxfId="2">
      <formula>S5="UNKNOWN"</formula>
    </cfRule>
  </conditionalFormatting>
  <conditionalFormatting sqref="AQ5:AQ94">
    <cfRule type="expression" priority="131" dxfId="1">
      <formula>AQ5=TRUE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2026-10-03T19:38:23Z</dcterms:created>
  <dcterms:modified xsi:type="dcterms:W3CDTF">2026-10-03T19:38:23Z</dcterms:modified>
</cp:coreProperties>
</file>