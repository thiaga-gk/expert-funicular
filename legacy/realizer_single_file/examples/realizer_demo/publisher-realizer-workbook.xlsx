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12446d2d8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6bb467157b54f5a"/>
    <x:sheet xmlns:r="http://schemas.openxmlformats.org/officeDocument/2006/relationships" name="Warehouse Portfolio" sheetId="2" r:id="Rb962077558144f64"/>
    <x:sheet xmlns:r="http://schemas.openxmlformats.org/officeDocument/2006/relationships" name="Scenario Plans" sheetId="3" r:id="R19fe3047cdd94759"/>
    <x:sheet xmlns:r="http://schemas.openxmlformats.org/officeDocument/2006/relationships" name="Recommendation Registry" sheetId="4" r:id="R9670817997e14955"/>
    <x:sheet xmlns:r="http://schemas.openxmlformats.org/officeDocument/2006/relationships" name="Realization Summary" sheetId="5" r:id="R7cd8915aa13e4df5"/>
    <x:sheet xmlns:r="http://schemas.openxmlformats.org/officeDocument/2006/relationships" name="Realization Timeline" sheetId="6" r:id="R8b7280008597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$#,##0.00;[Red]-$#,##0.00"/>
    <x:numFmt numFmtId="202" formatCode="0.0%"/>
    <x:numFmt numFmtId="203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A463B"/>
      <x:name val="Carlito"/>
    </x:font>
    <x:font>
      <x:b/>
      <x:sz val="10"/>
      <x:color rgb="FFFFFFFF"/>
      <x:name val="Carlito"/>
    </x:font>
    <x:font>
      <x:sz val="9"/>
      <x:color rgb="FF2B2522"/>
      <x:name val="Carlito"/>
    </x:font>
    <x:font>
      <x:b/>
      <x:sz val="17"/>
      <x:color rgb="FFFFFFFF"/>
      <x:name val="Carlito"/>
    </x:font>
    <x:font>
      <x:i/>
      <x:sz val="10"/>
      <x:color rgb="FF2B2522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B2F2F"/>
      </x:patternFill>
    </x:fill>
    <x:fill>
      <x:patternFill patternType="solid">
        <x:fgColor rgb="FFF7F1E8"/>
      </x:patternFill>
    </x:fill>
    <x:fill>
      <x:patternFill patternType="solid">
        <x:fgColor rgb="FFB58A3A"/>
      </x:patternFill>
    </x:fill>
    <x:fill>
      <x:patternFill patternType="solid">
        <x:fgColor rgb="FF3B2F2F"/>
      </x:patternFill>
    </x:fill>
    <x:fill>
      <x:patternFill patternType="solid">
        <x:fgColor rgb="FFF7F1E8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vertical="center" wrapText="1"/>
    </x:xf>
    <x:xf numFmtId="201" fontId="3" fillId="2" borderId="1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202" fontId="3" fillId="2" borderId="1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top"/>
    </x:xf>
    <x:xf numFmtId="203" fontId="3" fillId="2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1" fontId="7" fillId="5" borderId="0" xfId="0" applyNumberFormat="1" applyFont="1" applyFill="1" applyBorder="1" applyAlignment="1">
      <x:alignment wrapText="1"/>
    </x:xf>
    <x:xf numFmtId="202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01"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DDEBDD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E9E7E4"/>
        </x:patternFill>
      </x:fill>
    </x:dxf>
    <x:dxf>
      <x:fill>
        <x:patternFill>
          <x:bgColor rgb="FFDD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94c0e1da54412" /><Relationship Type="http://schemas.openxmlformats.org/officeDocument/2006/relationships/theme" Target="/xl/theme/theme1.xml" Id="Rc7e317a2dd364217" /><Relationship Type="http://schemas.microsoft.com/office/2022/11/relationships/FeaturePropertyBag" Target="/xl/featurePropertyBag/featurePropertyBag.xml" Id="R6df837bfd2e0401b" /><Relationship Type="http://schemas.openxmlformats.org/officeDocument/2006/relationships/sharedStrings" Target="/xl/sharedStrings.xml" Id="R7b5e33d95e9b4965" /><Relationship Type="http://schemas.openxmlformats.org/officeDocument/2006/relationships/worksheet" Target="/xl/worksheets/sheet1.xml" Id="Rb6bb467157b54f5a" /><Relationship Type="http://schemas.openxmlformats.org/officeDocument/2006/relationships/worksheet" Target="/xl/worksheets/sheet2.xml" Id="Rb962077558144f64" /><Relationship Type="http://schemas.openxmlformats.org/officeDocument/2006/relationships/worksheet" Target="/xl/worksheets/sheet3.xml" Id="R19fe3047cdd94759" /><Relationship Type="http://schemas.openxmlformats.org/officeDocument/2006/relationships/worksheet" Target="/xl/worksheets/sheet4.xml" Id="R9670817997e14955" /><Relationship Type="http://schemas.openxmlformats.org/officeDocument/2006/relationships/worksheet" Target="/xl/worksheets/sheet5.xml" Id="R7cd8915aa13e4df5" /><Relationship Type="http://schemas.openxmlformats.org/officeDocument/2006/relationships/worksheet" Target="/xl/worksheets/sheet6.xml" Id="R8b72800085974a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319ef4cbd044c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Base annual savings</c:v>
          </c:tx>
          <c:cat>
            <c:strRef>
              <c:f>'Executive Summary'!$G$5:$G$5</c:f>
              <c:strCache>
                <c:ptCount val="0"/>
              </c:strCache>
            </c:strRef>
          </c:cat>
          <c:val>
            <c:numRef>
              <c:f>'Executive Summary'!$J$5:$J$5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21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319ef4cbd044c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ecutiveMetrics" displayName="ExecutiveMetrics" ref="A4:E19" headerRowCount="1" totalsRowCount="0" totalsRowShown="0">
  <x:tableColumns count="5">
    <x:tableColumn id="1" name="Section"/>
    <x:tableColumn id="2" name="Metric"/>
    <x:tableColumn id="3" name="Value"/>
    <x:tableColumn id="4" name="Currency"/>
    <x:tableColumn id="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Opportunities" displayName="TopOpportunities" ref="G4:O5" headerRowCount="1" totalsRowCount="0" totalsRowShown="0">
  <x:tableColumns count="9">
    <x:tableColumn id="1" name="Warehouse"/>
    <x:tableColumn id="2" name="Owner"/>
    <x:tableColumn id="3" name="Forward baseline"/>
    <x:tableColumn id="4" name="Base savings"/>
    <x:tableColumn id="5" name="Savings range"/>
    <x:tableColumn id="6" name="Savings %"/>
    <x:tableColumn id="7" name="Recommended plan"/>
    <x:tableColumn id="8" name="Confidence"/>
    <x:tableColumn id="9" name="Next act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WarehousePortfolio" displayName="WarehousePortfolio" ref="A4:AV5" headerRowCount="1" totalsRowCount="0" totalsRowShown="0">
  <x:tableColumns count="48">
    <x:tableColumn id="1" name="Package ID"/>
    <x:tableColumn id="2" name="Workspace ID"/>
    <x:tableColumn id="3" name="Warehouse ID"/>
    <x:tableColumn id="4" name="Warehouse"/>
    <x:tableColumn id="5" name="Owner"/>
    <x:tableColumn id="6" name="Region"/>
    <x:tableColumn id="7" name="Epoch ID"/>
    <x:tableColumn id="8" name="Epoch age (d)"/>
    <x:tableColumn id="9" name="Primary source"/>
    <x:tableColumn id="10" name="Queries 30d"/>
    <x:tableColumn id="11" name="Active days 30d"/>
    <x:tableColumn id="12" name="Type"/>
    <x:tableColumn id="13" name="Size"/>
    <x:tableColumn id="14" name="Min clusters"/>
    <x:tableColumn id="15" name="Max clusters"/>
    <x:tableColumn id="16" name="Auto stop min"/>
    <x:tableColumn id="17" name="Channel"/>
    <x:tableColumn id="18" name="Photon"/>
    <x:tableColumn id="19" name="Actual DBU 365d"/>
    <x:tableColumn id="20" name="Actual AWS 365d"/>
    <x:tableColumn id="21" name="Actual total 365d"/>
    <x:tableColumn id="22" name="Forward DBU 365d"/>
    <x:tableColumn id="23" name="Forward AWS 365d"/>
    <x:tableColumn id="24" name="Forward total 365d"/>
    <x:tableColumn id="25" name="Savings low"/>
    <x:tableColumn id="26" name="Savings base"/>
    <x:tableColumn id="27" name="Savings high"/>
    <x:tableColumn id="28" name="Base savings %"/>
    <x:tableColumn id="29" name="Recommended scenario ID"/>
    <x:tableColumn id="30" name="Recommended scenario"/>
    <x:tableColumn id="31" name="Scenario type"/>
    <x:tableColumn id="32" name="Scenario conf."/>
    <x:tableColumn id="33" name="Scenario score"/>
    <x:tableColumn id="34" name="Next action"/>
    <x:tableColumn id="35" name="HITL"/>
    <x:tableColumn id="36" name="Overall status"/>
    <x:tableColumn id="37" name="Evidence quality"/>
    <x:tableColumn id="38" name="Evidence conf."/>
    <x:tableColumn id="39" name="Candidates"/>
    <x:tableColumn id="40" name="Actionable"/>
    <x:tableColumn id="41" name="Test required"/>
    <x:tableColumn id="42" name="Blocked"/>
    <x:tableColumn id="43" name="No change"/>
    <x:tableColumn id="44" name="Candidate view"/>
    <x:tableColumn id="45" name="Recommended execution plan"/>
    <x:tableColumn id="46" name="Scenario IDs JSON"/>
    <x:tableColumn id="47" name="Candidate IDs JSON"/>
    <x:tableColumn id="48" name="Evidence summary 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arioPlans" displayName="ScenarioPlans" ref="A4:AM6" headerRowCount="1" totalsRowCount="0" totalsRowShown="0">
  <x:tableColumns count="39">
    <x:tableColumn id="1" name="Package ID"/>
    <x:tableColumn id="2" name="Scenario ID"/>
    <x:tableColumn id="3" name="Workspace ID"/>
    <x:tableColumn id="4" name="Warehouse ID"/>
    <x:tableColumn id="5" name="Warehouse"/>
    <x:tableColumn id="6" name="Owner"/>
    <x:tableColumn id="7" name="Scenario"/>
    <x:tableColumn id="8" name="Type"/>
    <x:tableColumn id="9" name="Status"/>
    <x:tableColumn id="10" name="Recommended"/>
    <x:tableColumn id="11" name="Confidence score"/>
    <x:tableColumn id="12" name="Confidence"/>
    <x:tableColumn id="13" name="Confidence method"/>
    <x:tableColumn id="14" name="Compatibility"/>
    <x:tableColumn id="15" name="Compatibility mode"/>
    <x:tableColumn id="16" name="Compatibility checks JSON"/>
    <x:tableColumn id="17" name="Baseline DBU"/>
    <x:tableColumn id="18" name="Baseline AWS"/>
    <x:tableColumn id="19" name="Baseline total"/>
    <x:tableColumn id="20" name="DBU save low"/>
    <x:tableColumn id="21" name="DBU save base"/>
    <x:tableColumn id="22" name="DBU save high"/>
    <x:tableColumn id="23" name="AWS save low"/>
    <x:tableColumn id="24" name="AWS save base"/>
    <x:tableColumn id="25" name="AWS save high"/>
    <x:tableColumn id="26" name="Total save low"/>
    <x:tableColumn id="27" name="Total save base"/>
    <x:tableColumn id="28" name="Total save high"/>
    <x:tableColumn id="29" name="Est. cost low"/>
    <x:tableColumn id="30" name="Est. cost base"/>
    <x:tableColumn id="31" name="Est. cost high"/>
    <x:tableColumn id="32" name="Estimation status"/>
    <x:tableColumn id="33" name="Execution plan"/>
    <x:tableColumn id="34" name="Execution plan JSON"/>
    <x:tableColumn id="35" name="Candidate IDs JSON"/>
    <x:tableColumn id="36" name="Dependencies JSON"/>
    <x:tableColumn id="37" name="Invalidations JSON"/>
    <x:tableColumn id="38" name="Remeasure"/>
    <x:tableColumn id="39" name="Remeasure day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mendationRegistry" displayName="RecommendationRegistry" ref="A4:AY11" headerRowCount="1" totalsRowCount="0" totalsRowShown="0">
  <x:tableColumns count="51">
    <x:tableColumn id="1" name="Package ID"/>
    <x:tableColumn id="2" name="Candidate ID"/>
    <x:tableColumn id="3" name="Technique ID"/>
    <x:tableColumn id="4" name="Workspace ID"/>
    <x:tableColumn id="5" name="Warehouse ID"/>
    <x:tableColumn id="6" name="Warehouse"/>
    <x:tableColumn id="7" name="Owner"/>
    <x:tableColumn id="8" name="Epoch ID"/>
    <x:tableColumn id="9" name="Knob"/>
    <x:tableColumn id="10" name="Status"/>
    <x:tableColumn id="11" name="Objectives"/>
    <x:tableColumn id="12" name="Current"/>
    <x:tableColumn id="13" name="Recommended"/>
    <x:tableColumn id="14" name="Rationale"/>
    <x:tableColumn id="15" name="Confidence score"/>
    <x:tableColumn id="16" name="Confidence"/>
    <x:tableColumn id="17" name="Confidence components JSON"/>
    <x:tableColumn id="18" name="Evidence refs"/>
    <x:tableColumn id="19" name="Evidence / findings JSON"/>
    <x:tableColumn id="20" name="Decision rule"/>
    <x:tableColumn id="21" name="Thresholds JSON"/>
    <x:tableColumn id="22" name="Dependencies JSON"/>
    <x:tableColumn id="23" name="Invalidates JSON"/>
    <x:tableColumn id="24" name="Blockers JSON"/>
    <x:tableColumn id="25" name="Economics available"/>
    <x:tableColumn id="26" name="Baseline DBU"/>
    <x:tableColumn id="27" name="Baseline AWS"/>
    <x:tableColumn id="28" name="Baseline total"/>
    <x:tableColumn id="29" name="DBU save low"/>
    <x:tableColumn id="30" name="DBU save base"/>
    <x:tableColumn id="31" name="DBU save high"/>
    <x:tableColumn id="32" name="AWS save low"/>
    <x:tableColumn id="33" name="AWS save base"/>
    <x:tableColumn id="34" name="AWS save high"/>
    <x:tableColumn id="35" name="Total save low"/>
    <x:tableColumn id="36" name="Total save base"/>
    <x:tableColumn id="37" name="Total save high"/>
    <x:tableColumn id="38" name="Est. cost low"/>
    <x:tableColumn id="39" name="Est. cost base"/>
    <x:tableColumn id="40" name="Est. cost high"/>
    <x:tableColumn id="41" name="Additive?"/>
    <x:tableColumn id="42" name="Scenario membership JSON"/>
    <x:tableColumn id="43" name="Realization"/>
    <x:tableColumn id="44" name="Applied at"/>
    <x:tableColumn id="45" name="Validation"/>
    <x:tableColumn id="46" name="Realized DBU save"/>
    <x:tableColumn id="47" name="Realized AWS save"/>
    <x:tableColumn id="48" name="Realized total save"/>
    <x:tableColumn id="49" name="Annualized realized save"/>
    <x:tableColumn id="50" name="Rollback?"/>
    <x:tableColumn id="51" name="Realization 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alizationSummaryTable" displayName="RealizationSummaryTable" ref="A4:AH5" headerRowCount="1" totalsRowCount="0" totalsRowShown="0">
  <x:tableColumns count="34">
    <x:tableColumn id="1" name="recommendation_package_id"/>
    <x:tableColumn id="2" name="realization_package_id"/>
    <x:tableColumn id="3" name="snapshot_id"/>
    <x:tableColumn id="4" name="workspace_id"/>
    <x:tableColumn id="5" name="warehouse_id"/>
    <x:tableColumn id="6" name="warehouse_name"/>
    <x:tableColumn id="7" name="source_package_disposition"/>
    <x:tableColumn id="8" name="implementation_conformance"/>
    <x:tableColumn id="9" name="application_scope"/>
    <x:tableColumn id="10" name="intent_state"/>
    <x:tableColumn id="11" name="recommended_value"/>
    <x:tableColumn id="12" name="observed_applied_value"/>
    <x:tableColumn id="13" name="application_state"/>
    <x:tableColumn id="14" name="plan_progress"/>
    <x:tableColumn id="15" name="validation_state"/>
    <x:tableColumn id="16" name="realization_state"/>
    <x:tableColumn id="17" name="maturity_state"/>
    <x:tableColumn id="18" name="origin_attribution"/>
    <x:tableColumn id="19" name="attribution_claim_status"/>
    <x:tableColumn id="20" name="observed_realized_savings"/>
    <x:tableColumn id="21" name="recommendation_attributed_savings"/>
    <x:tableColumn id="22" name="annualized_realized_savings"/>
    <x:tableColumn id="23" name="mature_ttm_realized_savings"/>
    <x:tableColumn id="24" name="expected_same_scope_annual_savings"/>
    <x:tableColumn id="25" name="realization_ratio"/>
    <x:tableColumn id="26" name="economic_basis"/>
    <x:tableColumn id="27" name="denominator_source"/>
    <x:tableColumn id="28" name="regeneration_status"/>
    <x:tableColumn id="29" name="replacement_package_id"/>
    <x:tableColumn id="30" name="as_of_utc"/>
    <x:tableColumn id="31" name="application_json"/>
    <x:tableColumn id="32" name="validation_json"/>
    <x:tableColumn id="33" name="economics_json"/>
    <x:tableColumn id="34" name="attribu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alizationTimelineTable" displayName="RealizationTimelineTable" ref="A4:N13" headerRowCount="1" totalsRowCount="0" totalsRowShown="0">
  <x:tableColumns count="14">
    <x:tableColumn id="1" name="ledger_entry_id"/>
    <x:tableColumn id="2" name="realization_package_id"/>
    <x:tableColumn id="3" name="recommendation_package_id"/>
    <x:tableColumn id="4" name="event_type"/>
    <x:tableColumn id="5" name="effective_at_utc"/>
    <x:tableColumn id="6" name="recorded_at_utc"/>
    <x:tableColumn id="7" name="workspace_id"/>
    <x:tableColumn id="8" name="warehouse_id"/>
    <x:tableColumn id="9" name="application_episode_id"/>
    <x:tableColumn id="10" name="validation_episode_id"/>
    <x:tableColumn id="11" name="measurement_id"/>
    <x:tableColumn id="12" name="corrects_entry_id"/>
    <x:tableColumn id="13" name="evidence_refs"/>
    <x:tableColumn id="14" name="payload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2ec7dcdc24451a" /><Relationship Type="http://schemas.openxmlformats.org/officeDocument/2006/relationships/table" Target="/xl/tables/table1.xml" Id="R74d9061fd7ff4de8" /><Relationship Type="http://schemas.openxmlformats.org/officeDocument/2006/relationships/table" Target="/xl/tables/table2.xml" Id="R43e816ceb82d41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fd64e316dd9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f0cfc96849c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77453b8eadb4e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5cdae55366548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fb85835173db482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0" hidden="0" customWidth="1"/>
    <x:col min="5" max="5" width="48" hidden="0" customWidth="1"/>
    <x:col min="7" max="7" width="24" hidden="0" customWidth="1"/>
    <x:col min="8" max="8" width="24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34" hidden="0" customWidth="1"/>
    <x:col min="14" max="14" width="12" hidden="0" customWidth="1"/>
    <x:col min="15" max="15" width="28" hidden="0" customWidth="1"/>
  </x:cols>
  <x:sheetData>
    <x:row r="1" ht="30" customHeight="1">
      <x:c r="A1" s="44" t="str">
        <x:v>SQL Warehouse Optimization — Executive Summary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5"/>
    </x:row>
    <x:row r="2" ht="28" customHeight="1">
      <x:c r="A2" s="46" t="str">
        <x:v>Portfolio view derived exclusively from Reporter JSON Contract v1.0.0. Candidate savings are non-additive; portfolio economics come from package/scenario envelopes.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</x:row>
    <x:row r="4" ht="34" customHeight="1">
      <x:c r="A4" s="47" t="str">
        <x:v>Section</x:v>
      </x:c>
      <x:c r="B4" s="47" t="str">
        <x:v>Metric</x:v>
      </x:c>
      <x:c r="C4" s="47" t="str">
        <x:v>Value</x:v>
      </x:c>
      <x:c r="D4" s="47" t="str">
        <x:v>Currency</x:v>
      </x:c>
      <x:c r="E4" s="47" t="str">
        <x:v>Notes</x:v>
      </x:c>
      <x:c r="F4" s="45"/>
      <x:c r="G4" s="48" t="str">
        <x:v>Warehouse</x:v>
      </x:c>
      <x:c r="H4" s="48" t="str">
        <x:v>Owner</x:v>
      </x:c>
      <x:c r="I4" s="48" t="str">
        <x:v>Forward baseline</x:v>
      </x:c>
      <x:c r="J4" s="48" t="str">
        <x:v>Base savings</x:v>
      </x:c>
      <x:c r="K4" s="48" t="str">
        <x:v>Savings range</x:v>
      </x:c>
      <x:c r="L4" s="48" t="str">
        <x:v>Savings %</x:v>
      </x:c>
      <x:c r="M4" s="48" t="str">
        <x:v>Recommended plan</x:v>
      </x:c>
      <x:c r="N4" s="48" t="str">
        <x:v>Confidence</x:v>
      </x:c>
      <x:c r="O4" s="48" t="str">
        <x:v>Next action</x:v>
      </x:c>
    </x:row>
    <x:row r="5" ht="36" customHeight="1">
      <x:c r="A5" s="22" t="str">
        <x:v>Coverage</x:v>
      </x:c>
      <x:c r="B5" s="22" t="str">
        <x:v>Workbook contract</x:v>
      </x:c>
      <x:c r="C5" s="22" t="str">
        <x:v>1.1.0</x:v>
      </x:c>
      <x:c r="D5" s="22"/>
      <x:c r="E5" s="24" t="str">
        <x:v>Pure projection of Reporter JSON Contract v1.0.0</x:v>
      </x:c>
      <x:c r="F5" s="45"/>
      <x:c r="G5" s="49" t="str">
        <x:v>BI - Sales</x:v>
      </x:c>
      <x:c r="H5" s="49" t="str">
        <x:v>sales-bi@databricks.example</x:v>
      </x:c>
      <x:c r="I5" s="50" t="n">
        <x:v>38725.1</x:v>
      </x:c>
      <x:c r="J5" s="50" t="n">
        <x:v>12029.52</x:v>
      </x:c>
      <x:c r="K5" s="49" t="str">
        <x:v>6,896 – 25,572</x:v>
      </x:c>
      <x:c r="L5" s="51" t="n">
        <x:v>0.310639</x:v>
      </x:c>
      <x:c r="M5" s="49" t="str">
        <x:v>Plan A — Optimize current warehouse type</x:v>
      </x:c>
      <x:c r="N5" s="49" t="str">
        <x:v>MEDIUM</x:v>
      </x:c>
      <x:c r="O5" s="49" t="str">
        <x:v>RUN_WAREHOUSE_SIZE_CANARY</x:v>
      </x:c>
    </x:row>
    <x:row r="6" ht="36" customHeight="1">
      <x:c r="A6" s="22" t="str">
        <x:v>Coverage</x:v>
      </x:c>
      <x:c r="B6" s="22" t="str">
        <x:v>Reporter contract</x:v>
      </x:c>
      <x:c r="C6" s="22" t="str">
        <x:v>1.0.0</x:v>
      </x:c>
      <x:c r="D6" s="22"/>
      <x:c r="E6" s="24" t="str">
        <x:v>Locked JSON source of truth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</x:row>
    <x:row r="7" ht="36" customHeight="1">
      <x:c r="A7" s="22" t="str">
        <x:v>Coverage</x:v>
      </x:c>
      <x:c r="B7" s="22" t="str">
        <x:v>Warehouses assessed</x:v>
      </x:c>
      <x:c r="C7" s="26" t="n">
        <x:v>1</x:v>
      </x:c>
      <x:c r="D7" s="22"/>
      <x:c r="E7" s="24" t="str">
        <x:v>One immutable package per warehouse/current epoch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</x:row>
    <x:row r="8" ht="36" customHeight="1">
      <x:c r="A8" s="22" t="str">
        <x:v>Coverage</x:v>
      </x:c>
      <x:c r="B8" s="22" t="str">
        <x:v>Workspaces</x:v>
      </x:c>
      <x:c r="C8" s="26" t="n">
        <x:v>1</x:v>
      </x:c>
      <x:c r="D8" s="22"/>
      <x:c r="E8" s="24"/>
      <x:c r="F8" s="45"/>
      <x:c r="G8" s="45"/>
      <x:c r="H8" s="45"/>
      <x:c r="I8" s="45"/>
      <x:c r="J8" s="45"/>
      <x:c r="K8" s="45"/>
      <x:c r="L8" s="45"/>
      <x:c r="M8" s="45"/>
      <x:c r="N8" s="45"/>
      <x:c r="O8" s="45"/>
    </x:row>
    <x:row r="9" ht="36" customHeight="1">
      <x:c r="A9" s="22" t="str">
        <x:v>Coverage</x:v>
      </x:c>
      <x:c r="B9" s="22" t="str">
        <x:v>Regions</x:v>
      </x:c>
      <x:c r="C9" s="26" t="n">
        <x:v>1</x:v>
      </x:c>
      <x:c r="D9" s="22"/>
      <x:c r="E9" s="24"/>
      <x:c r="F9" s="45"/>
      <x:c r="G9" s="45"/>
      <x:c r="H9" s="45"/>
      <x:c r="I9" s="45"/>
      <x:c r="J9" s="45"/>
      <x:c r="K9" s="45"/>
      <x:c r="L9" s="45"/>
      <x:c r="M9" s="45"/>
      <x:c r="N9" s="45"/>
      <x:c r="O9" s="45"/>
    </x:row>
    <x:row r="10" ht="36" customHeight="1">
      <x:c r="A10" s="22" t="str">
        <x:v>Coverage</x:v>
      </x:c>
      <x:c r="B10" s="22" t="str">
        <x:v>Economically assessable</x:v>
      </x:c>
      <x:c r="C10" s="26" t="n">
        <x:v>1</x:v>
      </x:c>
      <x:c r="D10" s="22"/>
      <x:c r="E10" s="24" t="str">
        <x:v>Excluded: 0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</x:row>
    <x:row r="11" ht="36" customHeight="1">
      <x:c r="A11" s="22" t="str">
        <x:v>Cost</x:v>
      </x:c>
      <x:c r="B11" s="22" t="str">
        <x:v>Actual trailing 365d</x:v>
      </x:c>
      <x:c r="C11" s="22"/>
      <x:c r="D11" s="22" t="str">
        <x:v>USD</x:v>
      </x:c>
      <x:c r="E11" s="24" t="str">
        <x:v>Historical assessed total cost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</x:row>
    <x:row r="12" ht="36" customHeight="1">
      <x:c r="A12" s="22" t="str">
        <x:v>Cost</x:v>
      </x:c>
      <x:c r="B12" s="22" t="str">
        <x:v>Forward 365d baseline</x:v>
      </x:c>
      <x:c r="C12" s="28" t="n">
        <x:v>38725.1</x:v>
      </x:c>
      <x:c r="D12" s="22" t="str">
        <x:v>USD</x:v>
      </x:c>
      <x:c r="E12" s="24" t="str">
        <x:v>No-change forecast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</x:row>
    <x:row r="13" ht="36" customHeight="1">
      <x:c r="A13" s="22" t="str">
        <x:v>Opportunity</x:v>
      </x:c>
      <x:c r="B13" s="22" t="str">
        <x:v>Annual savings — low</x:v>
      </x:c>
      <x:c r="C13" s="28" t="n">
        <x:v>6895.76</x:v>
      </x:c>
      <x:c r="D13" s="22" t="str">
        <x:v>USD</x:v>
      </x:c>
      <x:c r="E13" s="24" t="str">
        <x:v>Σ package low; non-additive within package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</x:row>
    <x:row r="14" ht="36" customHeight="1">
      <x:c r="A14" s="22" t="str">
        <x:v>Opportunity</x:v>
      </x:c>
      <x:c r="B14" s="22" t="str">
        <x:v>Annual savings — recommended/base</x:v>
      </x:c>
      <x:c r="C14" s="28" t="n">
        <x:v>12029.52</x:v>
      </x:c>
      <x:c r="D14" s="22" t="str">
        <x:v>USD</x:v>
      </x:c>
      <x:c r="E14" s="24" t="str">
        <x:v>Σ recommended scenario base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</x:row>
    <x:row r="15" ht="36" customHeight="1">
      <x:c r="A15" s="22" t="str">
        <x:v>Opportunity</x:v>
      </x:c>
      <x:c r="B15" s="22" t="str">
        <x:v>Annual savings — high</x:v>
      </x:c>
      <x:c r="C15" s="28" t="n">
        <x:v>25571.95</x:v>
      </x:c>
      <x:c r="D15" s="22" t="str">
        <x:v>USD</x:v>
      </x:c>
      <x:c r="E15" s="24" t="str">
        <x:v>Σ package high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</x:row>
    <x:row r="16" ht="36" customHeight="1">
      <x:c r="A16" s="22" t="str">
        <x:v>Opportunity</x:v>
      </x:c>
      <x:c r="B16" s="22" t="str">
        <x:v>Base savings %</x:v>
      </x:c>
      <x:c r="C16" s="30" t="n">
        <x:v>0.310639</x:v>
      </x:c>
      <x:c r="D16" s="22"/>
      <x:c r="E16" s="24" t="str">
        <x:v>Base savings / forward baseline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</x:row>
    <x:row r="17" ht="36" customHeight="1">
      <x:c r="A17" s="22" t="str">
        <x:v>Confidence</x:v>
      </x:c>
      <x:c r="B17" s="22" t="str">
        <x:v>HIGH recommended scenario</x:v>
      </x:c>
      <x:c r="C17" s="26" t="n">
        <x:v>0</x:v>
      </x:c>
      <x:c r="D17" s="22"/>
      <x:c r="E17" s="24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</x:row>
    <x:row r="18" ht="36" customHeight="1">
      <x:c r="A18" s="22" t="str">
        <x:v>Confidence</x:v>
      </x:c>
      <x:c r="B18" s="22" t="str">
        <x:v>MEDIUM recommended scenario</x:v>
      </x:c>
      <x:c r="C18" s="26" t="n">
        <x:v>1</x:v>
      </x:c>
      <x:c r="D18" s="22"/>
      <x:c r="E18" s="24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</x:row>
    <x:row r="19" ht="36" customHeight="1">
      <x:c r="A19" s="22" t="str">
        <x:v>Confidence</x:v>
      </x:c>
      <x:c r="B19" s="22" t="str">
        <x:v>LOW recommended scenario</x:v>
      </x:c>
      <x:c r="C19" s="26" t="n">
        <x:v>0</x:v>
      </x:c>
      <x:c r="D19" s="22"/>
      <x:c r="E19" s="24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</x:row>
  </x:sheetData>
  <x:mergeCells>
    <x:mergeCell ref="A1:N1"/>
    <x:mergeCell ref="A2:N2"/>
  </x:mergeCells>
  <x:conditionalFormatting sqref="N5:N5">
    <x:cfRule type="expression" dxfId="0" priority="1">
      <x:formula>N5="HIGH"</x:formula>
    </x:cfRule>
    <x:cfRule type="expression" dxfId="1" priority="2">
      <x:formula>N5="MEDIUM"</x:formula>
    </x:cfRule>
    <x:cfRule type="expression" dxfId="2" priority="3">
      <x:formula>N5="LOW"</x:formula>
    </x:cfRule>
  </x:conditionalFormatting>
  <x:pageMargins left="0.7" right="0.7" top="0.75" bottom="0.75" header="0.3" footer="0.3"/>
  <x:drawing xmlns:r="http://schemas.openxmlformats.org/officeDocument/2006/relationships" r:id="Ra12ec7dcdc24451a"/>
  <x:tableParts count="2">
    <x:tablePart xmlns:r="http://schemas.openxmlformats.org/officeDocument/2006/relationships" r:id="R74d9061fd7ff4de8"/>
    <x:tablePart xmlns:r="http://schemas.openxmlformats.org/officeDocument/2006/relationships" r:id="R43e816ceb82d41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5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4" hidden="0" customWidth="1"/>
    <x:col min="30" max="30" width="32" hidden="0" customWidth="1"/>
    <x:col min="31" max="31" width="15" hidden="0" customWidth="1"/>
    <x:col min="32" max="32" width="15" hidden="0" customWidth="1"/>
    <x:col min="33" max="33" width="15" hidden="0" customWidth="1"/>
    <x:col min="34" max="34" width="28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42" hidden="0" customWidth="1"/>
    <x:col min="45" max="45" width="52" hidden="0" customWidth="1"/>
    <x:col min="46" max="46" width="34" hidden="0" customWidth="1"/>
    <x:col min="47" max="47" width="34" hidden="0" customWidth="1"/>
    <x:col min="48" max="48" width="45" hidden="0" customWidth="1"/>
  </x:cols>
  <x:sheetData>
    <x:row r="1" ht="30" customHeight="1">
      <x:c r="A1" s="4" t="str">
        <x:v>Warehouse Portfolio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</x:row>
    <x:row r="2" ht="28" customHeight="1">
      <x:c r="A2" s="10" t="str">
        <x:v>One row per recommendation package. Filterable current config, workload, economics, recommended scenario, and compact HITL decision views.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  <x:c r="AS2" s="10"/>
      <x:c r="AT2" s="10"/>
      <x:c r="AU2" s="10"/>
      <x:c r="AV2" s="10"/>
    </x:row>
    <x:row r="4" ht="34" customHeight="1">
      <x:c r="A4" s="16" t="str">
        <x:v>Package ID</x:v>
      </x:c>
      <x:c r="B4" s="16" t="str">
        <x:v>Workspace ID</x:v>
      </x:c>
      <x:c r="C4" s="16" t="str">
        <x:v>Warehouse ID</x:v>
      </x:c>
      <x:c r="D4" s="16" t="str">
        <x:v>Warehouse</x:v>
      </x:c>
      <x:c r="E4" s="16" t="str">
        <x:v>Owner</x:v>
      </x:c>
      <x:c r="F4" s="16" t="str">
        <x:v>Region</x:v>
      </x:c>
      <x:c r="G4" s="16" t="str">
        <x:v>Epoch ID</x:v>
      </x:c>
      <x:c r="H4" s="66" t="str">
        <x:v>Epoch age (d)</x:v>
      </x:c>
      <x:c r="I4" s="16" t="str">
        <x:v>Primary source</x:v>
      </x:c>
      <x:c r="J4" s="66" t="str">
        <x:v>Queries 30d</x:v>
      </x:c>
      <x:c r="K4" s="66" t="str">
        <x:v>Active days 30d</x:v>
      </x:c>
      <x:c r="L4" s="16" t="str">
        <x:v>Type</x:v>
      </x:c>
      <x:c r="M4" s="16" t="str">
        <x:v>Size</x:v>
      </x:c>
      <x:c r="N4" s="66" t="str">
        <x:v>Min clusters</x:v>
      </x:c>
      <x:c r="O4" s="66" t="str">
        <x:v>Max clusters</x:v>
      </x:c>
      <x:c r="P4" s="66" t="str">
        <x:v>Auto stop min</x:v>
      </x:c>
      <x:c r="Q4" s="16" t="str">
        <x:v>Channel</x:v>
      </x:c>
      <x:c r="R4" s="16" t="str">
        <x:v>Photon</x:v>
      </x:c>
      <x:c r="S4" s="68" t="str">
        <x:v>Actual DBU 365d</x:v>
      </x:c>
      <x:c r="T4" s="68" t="str">
        <x:v>Actual AWS 365d</x:v>
      </x:c>
      <x:c r="U4" s="68" t="str">
        <x:v>Actual total 365d</x:v>
      </x:c>
      <x:c r="V4" s="68" t="str">
        <x:v>Forward DBU 365d</x:v>
      </x:c>
      <x:c r="W4" s="68" t="str">
        <x:v>Forward AWS 365d</x:v>
      </x:c>
      <x:c r="X4" s="68" t="str">
        <x:v>Forward total 365d</x:v>
      </x:c>
      <x:c r="Y4" s="68" t="str">
        <x:v>Savings low</x:v>
      </x:c>
      <x:c r="Z4" s="68" t="str">
        <x:v>Savings base</x:v>
      </x:c>
      <x:c r="AA4" s="68" t="str">
        <x:v>Savings high</x:v>
      </x:c>
      <x:c r="AB4" s="70" t="str">
        <x:v>Base savings %</x:v>
      </x:c>
      <x:c r="AC4" s="16" t="str">
        <x:v>Recommended scenario ID</x:v>
      </x:c>
      <x:c r="AD4" s="16" t="str">
        <x:v>Recommended scenario</x:v>
      </x:c>
      <x:c r="AE4" s="16" t="str">
        <x:v>Scenario type</x:v>
      </x:c>
      <x:c r="AF4" s="16" t="str">
        <x:v>Scenario conf.</x:v>
      </x:c>
      <x:c r="AG4" s="72" t="str">
        <x:v>Scenario score</x:v>
      </x:c>
      <x:c r="AH4" s="16" t="str">
        <x:v>Next action</x:v>
      </x:c>
      <x:c r="AI4" s="16" t="str">
        <x:v>HITL</x:v>
      </x:c>
      <x:c r="AJ4" s="16" t="str">
        <x:v>Overall status</x:v>
      </x:c>
      <x:c r="AK4" s="16" t="str">
        <x:v>Evidence quality</x:v>
      </x:c>
      <x:c r="AL4" s="16" t="str">
        <x:v>Evidence conf.</x:v>
      </x:c>
      <x:c r="AM4" s="66" t="str">
        <x:v>Candidates</x:v>
      </x:c>
      <x:c r="AN4" s="66" t="str">
        <x:v>Actionable</x:v>
      </x:c>
      <x:c r="AO4" s="66" t="str">
        <x:v>Test required</x:v>
      </x:c>
      <x:c r="AP4" s="66" t="str">
        <x:v>Blocked</x:v>
      </x:c>
      <x:c r="AQ4" s="66" t="str">
        <x:v>No change</x:v>
      </x:c>
      <x:c r="AR4" s="16" t="str">
        <x:v>Candidate view</x:v>
      </x:c>
      <x:c r="AS4" s="16" t="str">
        <x:v>Recommended execution plan</x:v>
      </x:c>
      <x:c r="AT4" s="16" t="str">
        <x:v>Scenario IDs JSON</x:v>
      </x:c>
      <x:c r="AU4" s="16" t="str">
        <x:v>Candidate IDs JSON</x:v>
      </x:c>
      <x:c r="AV4" s="16" t="str">
        <x:v>Evidence summary JSON</x:v>
      </x:c>
    </x:row>
    <x:row r="5" ht="84" customHeight="1">
      <x:c r="A5" s="22" t="str">
        <x:v>PKG-C1928BFAD6E14C166A0F518D</x:v>
      </x:c>
      <x:c r="B5" s="22" t="str">
        <x:v>1234567890123456</x:v>
      </x:c>
      <x:c r="C5" s="22" t="str">
        <x:v>wh-synth-001</x:v>
      </x:c>
      <x:c r="D5" s="24" t="str">
        <x:v>BI - Sales</x:v>
      </x:c>
      <x:c r="E5" s="24" t="str">
        <x:v>sales-bi@databricks.example</x:v>
      </x:c>
      <x:c r="F5" s="22" t="str">
        <x:v>us-east-1</x:v>
      </x:c>
      <x:c r="G5" s="22" t="str">
        <x:v>EPOCH-90F9FB8E6BAEFDC508183AC2</x:v>
      </x:c>
      <x:c r="H5" s="26" t="n">
        <x:v>259</x:v>
      </x:c>
      <x:c r="I5" s="22" t="str">
        <x:v>DASHBOARD</x:v>
      </x:c>
      <x:c r="J5" s="26" t="n">
        <x:v>12000</x:v>
      </x:c>
      <x:c r="K5" s="26" t="n">
        <x:v>30</x:v>
      </x:c>
      <x:c r="L5" s="22" t="str">
        <x:v>PRO</x:v>
      </x:c>
      <x:c r="M5" s="22" t="str">
        <x:v>LARGE</x:v>
      </x:c>
      <x:c r="N5" s="26" t="n">
        <x:v>2</x:v>
      </x:c>
      <x:c r="O5" s="26" t="n">
        <x:v>4</x:v>
      </x:c>
      <x:c r="P5" s="26" t="n">
        <x:v>120</x:v>
      </x:c>
      <x:c r="Q5" s="22" t="str">
        <x:v>CURRENT</x:v>
      </x:c>
      <x:c r="R5" s="22" t="str">
        <x:v>ENABLED</x:v>
      </x:c>
      <x:c r="S5" s="28" t="n">
        <x:v>23760</x:v>
      </x:c>
      <x:c r="T5" s="28"/>
      <x:c r="U5" s="28"/>
      <x:c r="V5" s="28" t="n">
        <x:v>27000</x:v>
      </x:c>
      <x:c r="W5" s="28" t="n">
        <x:v>11725.1</x:v>
      </x:c>
      <x:c r="X5" s="28" t="n">
        <x:v>38725.1</x:v>
      </x:c>
      <x:c r="Y5" s="28" t="n">
        <x:v>6895.76</x:v>
      </x:c>
      <x:c r="Z5" s="28" t="n">
        <x:v>12029.52</x:v>
      </x:c>
      <x:c r="AA5" s="28" t="n">
        <x:v>25571.95</x:v>
      </x:c>
      <x:c r="AB5" s="30" t="n">
        <x:v>0.310639</x:v>
      </x:c>
      <x:c r="AC5" s="22" t="str">
        <x:v>SCN-669E0ED750DDE520F0F03317</x:v>
      </x:c>
      <x:c r="AD5" s="24" t="str">
        <x:v>Plan A — Optimize current warehouse type</x:v>
      </x:c>
      <x:c r="AE5" s="22" t="str">
        <x:v>IN_PLACE_OPTIMIZATION</x:v>
      </x:c>
      <x:c r="AF5" s="22" t="str">
        <x:v>MEDIUM</x:v>
      </x:c>
      <x:c r="AG5" s="73" t="n">
        <x:v>0.78</x:v>
      </x:c>
      <x:c r="AH5" s="24" t="str">
        <x:v>RUN_WAREHOUSE_SIZE_CANARY</x:v>
      </x:c>
      <x:c r="AI5" s="64" t="b">
        <x:v>1</x:v>
      </x:c>
      <x:c r="AJ5" s="22" t="str">
        <x:v>OPTIMIZATION_AVAILABLE</x:v>
      </x:c>
      <x:c r="AK5" s="22" t="str">
        <x:v>SUFFICIENT</x:v>
      </x:c>
      <x:c r="AL5" s="22" t="str">
        <x:v>HIGH</x:v>
      </x:c>
      <x:c r="AM5" s="26" t="n">
        <x:v>7</x:v>
      </x:c>
      <x:c r="AN5" s="26" t="n">
        <x:v>3</x:v>
      </x:c>
      <x:c r="AO5" s="26" t="n">
        <x:v>2</x:v>
      </x:c>
      <x:c r="AP5" s="26" t="n">
        <x:v>0</x:v>
      </x:c>
      <x:c r="AQ5" s="26" t="n">
        <x:v>2</x:v>
      </x:c>
      <x:c r="AR5" s="24" t="str">
        <x:v>Photon: True [NO_CHANGE; HIGH 0.80]
Size: LARGE → MEDIUM [TEST_REQUIRED; MEDIUM 0.78]
Max clusters: 4 → 3 [ACTIONABLE; HIGH 0.93]
Min clusters: 2 → 1 [ACTIONABLE; HIGH 0.93]
Auto stop: 120 → 30 [ACTIONABLE; HIGH 0.93]
Warehouse type: PRO → SERVERLESS [TEST_REQUIRED; MEDIUM 0.78]
Channel: CURRENT [NO_CHANGE; HIGH 0.80]</x:v>
      </x:c>
      <x:c r="AS5" s="24" t="str">
        <x:v>Plan A — Optimize current warehouse type
1. warehouse_size: LARGE → MEDIUM [READY_FOR_CANARY; MEDIUM 0.78]
2. max_clusters: 4 → 3 [PENDING_REEVALUATION; HIGH 0.93]
3. min_clusters: 2 → 1 [PENDING_REEVALUATION; HIGH 0.93]
4. auto_stop_minutes: 120 → 30 [PENDING_REEVALUATION; HIGH 0.93]
5. REMEASURE_AND_REGENERATE [REQUIRED; HIGH 1.00]
   remeasure_days=7</x:v>
      </x:c>
      <x:c r="AT5" s="22" t="str">
        <x:v>["SCN-669E0ED750DDE520F0F03317","SCN-1DFDCB17E0622D63C6758AB4"]</x:v>
      </x:c>
      <x:c r="AU5" s="22" t="str">
        <x:v>["CAND-ED593F8D45EFA6CAB149B2FF","CAND-EE972CA4DAC7A56B7D77DEFB","CAND-7D8091C10AAFE918B0A7C127","CAND-AABB1CB6F62253EC264D2DB7","CAND-938E7478C6749F842CF92AB9","CAND-297B29996B10927E411B0AD2","CAND-B8B0FF2C9E23C9957E283E88"]</x:v>
      </x:c>
      <x:c r="AV5" s="22" t="str">
        <x:v>{"EVID-0810899A5124429CCFFBF9B4":{"interpretation":"Cold-start sensitivity guardrail.","metric":"p95_wait_compute_ms_30","value":3500},"EVID-0B72CF1D7080CDBCD1D3D411":{"interpretation":"Genie workload mix context.","metric":"genie_queries_30","value":0},"EVID-0DE46D3A7F2CB6F96608B0E9":{"interpretation":"Compatibility check workspace_serverless_observed returned UNKNOWN.","metric":"compatibility.workspace_serverless_observed","value":{"evidence":false,"status":"UNKNOWN"}},"EVID-16D8831987E0F97DE428B9EE":{"interpretation":"Compatibility check workspace_serverless_enablement returned PASS.","metric":"compatibility.workspace_serverless_enablement","value":{"evidence":true,"status":"PASS"}},"EVID-16F5FA6CD518E56FEABD1BCA":{"interpretation":"Extreme tail execution latency guardrail.","metric":"p99_execution_ms_30","value":10000},"EVID-23E489B0BB9365F307E0F939":{"interpretation":"Frequency of queries spilling to local storage.","metric":"spill_query_pct_30","value":0.0},"EVID-24CFF7F1D6658ECE99B64913":{"interpretation":"Power BI client workload mix context.","metric":"power_bi_queries_30","value":3000},"EVID-2E6BB473F04C421D6A69CBD4":{"interpretation":"Highest observed scale level.","metric":"max_observed_clusters","value":2},"EVID-3AF97BAA23C5716C9B60F777":{"interpretation":"Queue guardrail before reducing baseline capacity.","metric":"queued_query_pct_30","value":0.0},"EVID-3C52983DF27F9CE0018B09BE":{"interpretation":"Tableau client workload mix context.","metric":"tableau_queries_30","value":0},"EVID-3E3280046A3BF0609ACE0882":{"interpretation":"Coverage of non-null Photon feature attribution used to decide whether inference is reliable.","metric":"photon_feature_coverage_pct","value":100.0},"EVID-45F9AD38C111236D924BB74F":{"interpretation":"Coverage available for deterministic pattern checks. Raw SQL text is not exported.","metric":"statement_text_visible_pct_30","value":100.0},"EVID-49C6E0F0E6281B72EB493BF1":{"interpretation":"How often the warehouse sits at its minimum.","metric":"time_at_min_pct","value":80.0},"EVID-4CCF9D28B036DF83F47880A4":{"interpretation":"Observed billing evidence; not used as current configuration source.","metric":"serverless_usage_pct_365","value":0.0},"EVID-5A5A7219000299698F7DA5A6":{"interpretation":"Notebook workload mix context.","metric":"notebook_queries_30","value":0},"EVID-5EF6CE79C232BA0A3D3E9DF5":{"interpretation":"Observed resource-time basis used to convert idle time into cost effect.","metric":"cluster_minutes","value":40000.0},"EVID-62AE50F7E0D049E87541CCAF":{"interpretation":"Configured minimum scale.","metric":"min_clusters","value":2},"EVID-65ADAC65D01DAEC470E7B3E4":{"interpretation":"Observed trailing-365-day Databricks SQL list cost attributed to the warehouse.","metric":"actual_dbu_cost_365d","value":23760.0},"EVID-6C45A23DC840A92F3BFC102C":{"interpretation":"Forward customer AWS infrastructure cost model for the current configuration epoch; null when unavailable.","metric":"forward_aws_cost_365d","value":11725.1},"EVID-734CE6CA20000AD9475C8ADA":{"interpretation":"Age of the most recent DBU billing evidence supporting Photon inference.","metric":"photon_freshness_days","value":0},"EVID-746FED22B061CD51A85711B3":{"interpretation":"Compatibility check external_legacy_hive_metastore_workspace_setting returned PASS.","metric":"compatibility.external_legacy_hive_metastore_workspace_setting","value":{"evidence":{"config_keys":[],"detected":false},"status":"PASS"}},"EVID-76E07C134670EAC86E5B9B45":{"interpretation":"Queue latency guardrail.","metric":"p95_wait_capacity_ms_30","value":0},"EVID-79F38E666C1E1C15A33F9EE6":{"interpretation":"Current idle termination setting versus deterministic policy target.","metric":"auto_stop_minutes","value":120},"EVID-941BE40F20A14CA11A130748":{"interpretation":"No-change forward DBU cost forecast anchored to the current configuration epoch.","metric":"forward_dbu_cost_365d","value":27000.0},"EVID-963E52396C287E958F8EF08F":{"interpretation":"Databricks SQL editor/query workload mix context.","metric":"sql_editor_queries_30","value":960},"EVID-991A7E55326C074AF8DE4340":{"interpretation":"Compatibility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regions.","region":"us-east-1"},"status":"PASS"}},"EVID-9A1BB1822623D65B18DD5414":{"interpretation":"Estimated additional off-time at the candidate target.","metric":"estimated_additional_off_minutes","value":7920.0},"EVID-9F57601D7601AD949053633C":{"interpretation":"Current release channel from the current configuration epoch.","metric":"warehouse_channel","value":"CURRENT"},"EVID-A40C5D78A97FA849D959012B":{"interpretation":"Restart frequency guardrail.","metric":"starts_per_active_day_30","value":0.2667},"EVID-B5A5ED946E296A114CF5CA8C":{"interpretation":"Current warehouse type.","metric":"warehouse_type","value":"PRO"},"EVID-B6469511F156698AC3D5CB8E":{"interpretation":"Job workload mix context.","metric":"job_queries_30","value":0},"EVID-BB37D0360DC1CBABC19FEB46":{"interpretation":"Tail execution latency guardrail.","metric":"p95_execution_ms_30","value":2500},"EVID-BCE7B66A0A8286AA220E8C3C":{"interpretation":"Compatibility check s3_access_policy_compatibility returned UNKNOWN.","metric":"compatibility.s3_access_policy_compatibility","value":{"evidence":"UNKNOWN","status":"UNKNOWN"}},"EVID-BDB2093458A6FD63FC8C6548":{"interpretation":"Severity of capacity queueing.","metric":"p95_wait_capacity_ms_30","value":0},"EVID-C0A8B86FC6694C973270EFA1":{"interpretation":"Calendar-day coverage available to the forward cost model.","metric":"cost_history_days","value":259},"EVID-C3FDAD520F6431EB88ADDEA1":{"interpretation":"Activity density selects the auto-stop target.","metric":"queries_per_active_day_30","value":400.0},"EVID-C4A0162101F9E05D1717205A":{"interpretation":"Non-overlapping inter-query gap sample supporting the auto-stop counterfactual.","metric":"idle_gap_count","value":480},"EVID-C5CBADC22656C8916B474792":{"interpretation":"Concurrency pressure during the decision window.","metric":"queued_query_pct_30","value":0.0},"EVID-C667A286F56B35D086ED91C1":{"interpretation":"Observed Photon workload state inferred from billing feature attribution.","metric":"photon_observed_status","value":"ENABLED"},"EVID-C88E29553488850C48B2FB4F":{"interpretation":"Frequency of capacity queueing.","metric":"queued_query_pct_30","value":0.0},"EVID-C93E5A448C9691384CABBC3C":{"interpretation":"Alert workload mix context.","metric":"alert_queries_30","value":0},"EVID-E086423EEDD4EA5B78E06BA8":{"interpretation":"Dashboard workload mix context.","metric":"dashboard_queries_30","value":9000},"EVID-E4035FA901B2DB20C8DF252F":{"interpretation":"Configured concurrency ceiling.","metric":"max_clusters","value":4},"EVID-E6B199EF294C7E05E9993FE1":{"interpretation":"Severity of spill at p95.","metric":"p95_spill_bytes_30","value":0},"EVID-EDA6642957D4B62003EC4DF3":{"interpretation":"Compatibility check legacy_hive_metastore_sql_reference returned PASS_WITH_LIMITATION.","metric":"compatibility.legacy_hive_metastore_sql_reference","value":{"evidence":{"reference_queries":0,"visible_pct":100.0},"status":"PASS_WITH_LIMITATION"}},"EVID-EDCBC6971D3BA91544816BB4":{"interpretation":"Sustained scale pressure blocks minimum reduction.","metric":"time_at_max_pct","value":0.0},"EVID-EEAE9EE4EB0184B8E3194230":{"interpretation":"Query-tag coverage supplied to HITL for workload attribution and migration validation.","metric":"tagged_query_pct_30","value":70.0},"EVID-F1AF3966D3D1C53F2F59E006":{"interpretation":"Share of known Photon-attributed DBUs observed with Photon enabled.","metric":"photon_enabled_usage_pct","value":100.0},"EVID-F4202DF35AACA347637BC1D6":{"interpretation":"Fraction of running time at configured maximum.","metric":"time_at_max_pct","value":0.0},"EVID-F495F5CD809BE5CB38C224D3":{"interpretation":"Potential migration-review signal only; this does not prove an external legacy Hive metastore is configured.","metric":"hive_metastore_reference_queries_30","value":0},"EVID-F540ADDD1BD6DA5F09CE698F":{"interpretation":"I/O cache evidence for HITL context; not a v2 size decision threshold.","metric":"avg_read_io_cache_percent_30","value":35.0},"EVID-F723F7AAAD312F89B8C5FAE1":{"interpretation":"Current warehouse size.","metric":"warehouse_size","value":"LARGE"}}</x:v>
      </x:c>
    </x:row>
  </x:sheetData>
  <x:mergeCells>
    <x:mergeCell ref="A1:AV1"/>
    <x:mergeCell ref="A2:AV2"/>
  </x:mergeCells>
  <x:conditionalFormatting sqref="AJ5:AJ5">
    <x:cfRule type="expression" dxfId="3" priority="1">
      <x:formula>AJ5="ACTIONABLE"</x:formula>
    </x:cfRule>
    <x:cfRule type="expression" dxfId="4" priority="2">
      <x:formula>AJ5="RECOMMENDED"</x:formula>
    </x:cfRule>
    <x:cfRule type="expression" dxfId="5" priority="3">
      <x:formula>AJ5="HIGH"</x:formula>
    </x:cfRule>
    <x:cfRule type="expression" dxfId="6" priority="4">
      <x:formula>AJ5="SUFFICIENT"</x:formula>
    </x:cfRule>
    <x:cfRule type="expression" dxfId="7" priority="5">
      <x:formula>AJ5="TEST_REQUIRED"</x:formula>
    </x:cfRule>
    <x:cfRule type="expression" dxfId="8" priority="6">
      <x:formula>AJ5="REVIEW"</x:formula>
    </x:cfRule>
    <x:cfRule type="expression" dxfId="9" priority="7">
      <x:formula>AJ5="MEDIUM"</x:formula>
    </x:cfRule>
    <x:cfRule type="expression" dxfId="10" priority="8">
      <x:formula>AJ5="PARTIAL"</x:formula>
    </x:cfRule>
    <x:cfRule type="expression" dxfId="11" priority="9">
      <x:formula>AJ5="BLOCKED"</x:formula>
    </x:cfRule>
    <x:cfRule type="expression" dxfId="12" priority="10">
      <x:formula>AJ5="LOW"</x:formula>
    </x:cfRule>
    <x:cfRule type="expression" dxfId="13" priority="11">
      <x:formula>AJ5="INSUFFICIENT_EVIDENCE"</x:formula>
    </x:cfRule>
    <x:cfRule type="expression" dxfId="14" priority="12">
      <x:formula>AJ5="NO_CHANGE"</x:formula>
    </x:cfRule>
    <x:cfRule type="expression" dxfId="15" priority="13">
      <x:formula>AJ5="NOT_APPLICABLE"</x:formula>
    </x:cfRule>
    <x:cfRule type="expression" dxfId="16" priority="14">
      <x:formula>AJ5="ALTERNATIVE"</x:formula>
    </x:cfRule>
  </x:conditionalFormatting>
  <x:conditionalFormatting sqref="AK5:AK5">
    <x:cfRule type="expression" dxfId="17" priority="15">
      <x:formula>AK5="ACTIONABLE"</x:formula>
    </x:cfRule>
    <x:cfRule type="expression" dxfId="18" priority="16">
      <x:formula>AK5="RECOMMENDED"</x:formula>
    </x:cfRule>
    <x:cfRule type="expression" dxfId="19" priority="17">
      <x:formula>AK5="HIGH"</x:formula>
    </x:cfRule>
    <x:cfRule type="expression" dxfId="20" priority="18">
      <x:formula>AK5="SUFFICIENT"</x:formula>
    </x:cfRule>
    <x:cfRule type="expression" dxfId="21" priority="19">
      <x:formula>AK5="TEST_REQUIRED"</x:formula>
    </x:cfRule>
    <x:cfRule type="expression" dxfId="22" priority="20">
      <x:formula>AK5="REVIEW"</x:formula>
    </x:cfRule>
    <x:cfRule type="expression" dxfId="23" priority="21">
      <x:formula>AK5="MEDIUM"</x:formula>
    </x:cfRule>
    <x:cfRule type="expression" dxfId="24" priority="22">
      <x:formula>AK5="PARTIAL"</x:formula>
    </x:cfRule>
    <x:cfRule type="expression" dxfId="25" priority="23">
      <x:formula>AK5="BLOCKED"</x:formula>
    </x:cfRule>
    <x:cfRule type="expression" dxfId="26" priority="24">
      <x:formula>AK5="LOW"</x:formula>
    </x:cfRule>
    <x:cfRule type="expression" dxfId="27" priority="25">
      <x:formula>AK5="INSUFFICIENT_EVIDENCE"</x:formula>
    </x:cfRule>
    <x:cfRule type="expression" dxfId="28" priority="26">
      <x:formula>AK5="NO_CHANGE"</x:formula>
    </x:cfRule>
    <x:cfRule type="expression" dxfId="29" priority="27">
      <x:formula>AK5="NOT_APPLICABLE"</x:formula>
    </x:cfRule>
    <x:cfRule type="expression" dxfId="30" priority="28">
      <x:formula>AK5="ALTERNATIVE"</x:formula>
    </x:cfRule>
  </x:conditionalFormatting>
  <x:conditionalFormatting sqref="AF5:AF5">
    <x:cfRule type="expression" dxfId="31" priority="29">
      <x:formula>AF5="ACTIONABLE"</x:formula>
    </x:cfRule>
    <x:cfRule type="expression" dxfId="32" priority="30">
      <x:formula>AF5="RECOMMENDED"</x:formula>
    </x:cfRule>
    <x:cfRule type="expression" dxfId="33" priority="31">
      <x:formula>AF5="HIGH"</x:formula>
    </x:cfRule>
    <x:cfRule type="expression" dxfId="34" priority="32">
      <x:formula>AF5="SUFFICIENT"</x:formula>
    </x:cfRule>
    <x:cfRule type="expression" dxfId="35" priority="33">
      <x:formula>AF5="TEST_REQUIRED"</x:formula>
    </x:cfRule>
    <x:cfRule type="expression" dxfId="36" priority="34">
      <x:formula>AF5="REVIEW"</x:formula>
    </x:cfRule>
    <x:cfRule type="expression" dxfId="37" priority="35">
      <x:formula>AF5="MEDIUM"</x:formula>
    </x:cfRule>
    <x:cfRule type="expression" dxfId="38" priority="36">
      <x:formula>AF5="PARTIAL"</x:formula>
    </x:cfRule>
    <x:cfRule type="expression" dxfId="39" priority="37">
      <x:formula>AF5="BLOCKED"</x:formula>
    </x:cfRule>
    <x:cfRule type="expression" dxfId="40" priority="38">
      <x:formula>AF5="LOW"</x:formula>
    </x:cfRule>
    <x:cfRule type="expression" dxfId="41" priority="39">
      <x:formula>AF5="INSUFFICIENT_EVIDENCE"</x:formula>
    </x:cfRule>
    <x:cfRule type="expression" dxfId="42" priority="40">
      <x:formula>AF5="NO_CHANGE"</x:formula>
    </x:cfRule>
    <x:cfRule type="expression" dxfId="43" priority="41">
      <x:formula>AF5="NOT_APPLICABLE"</x:formula>
    </x:cfRule>
    <x:cfRule type="expression" dxfId="44" priority="42">
      <x:formula>AF5="ALTERNATIVE"</x:formula>
    </x:cfRule>
  </x:conditionalFormatting>
  <x:conditionalFormatting sqref="AB5:AB5">
    <x:cfRule type="dataBar" priority="4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{1360DC83-22C6-B9A8-1AD1-4BAF23B57624}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fd64e316dd9462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3" id="{1360DC83-22C6-B9A8-1AD1-4BAF23B57624}">
            <x14:dataBar gradient="1">
              <x14:cfvo type="min"/>
              <x14:cfvo type="max"/>
              <x14:fillColor rgb="FFA02B93"/>
            </x14:dataBar>
          </x14:cfRule>
          <xm:sqref>AB5:AB5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52" hidden="0" customWidth="1"/>
    <x:col min="34" max="34" width="48" hidden="0" customWidth="1"/>
    <x:col min="35" max="35" width="36" hidden="0" customWidth="1"/>
    <x:col min="36" max="36" width="36" hidden="0" customWidth="1"/>
    <x:col min="37" max="37" width="32" hidden="0" customWidth="1"/>
    <x:col min="38" max="38" width="15" hidden="0" customWidth="1"/>
    <x:col min="39" max="39" width="15" hidden="0" customWidth="1"/>
  </x:cols>
  <x:sheetData>
    <x:row r="1" ht="30" customHeight="1">
      <x:c r="A1" s="4" t="str">
        <x:v>Scenario Plans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</x:row>
    <x:row r="2" ht="28" customHeight="1">
      <x:c r="A2" s="10" t="str">
        <x:v>One row per scenario. Compare Plan A/Plan B alternatives, compatibility, stateful economics, confidence, dependencies, invalidations, and execution sequence.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</x:row>
    <x:row r="4" ht="34" customHeight="1">
      <x:c r="A4" s="16" t="str">
        <x:v>Package ID</x:v>
      </x:c>
      <x:c r="B4" s="16" t="str">
        <x:v>Scenario ID</x:v>
      </x:c>
      <x:c r="C4" s="16" t="str">
        <x:v>Workspace ID</x:v>
      </x:c>
      <x:c r="D4" s="16" t="str">
        <x:v>Warehouse ID</x:v>
      </x:c>
      <x:c r="E4" s="16" t="str">
        <x:v>Warehouse</x:v>
      </x:c>
      <x:c r="F4" s="16" t="str">
        <x:v>Owner</x:v>
      </x:c>
      <x:c r="G4" s="16" t="str">
        <x:v>Scenario</x:v>
      </x:c>
      <x:c r="H4" s="16" t="str">
        <x:v>Type</x:v>
      </x:c>
      <x:c r="I4" s="16" t="str">
        <x:v>Status</x:v>
      </x:c>
      <x:c r="J4" s="16" t="str">
        <x:v>Recommended</x:v>
      </x:c>
      <x:c r="K4" s="72" t="str">
        <x:v>Confidence score</x:v>
      </x:c>
      <x:c r="L4" s="16" t="str">
        <x:v>Confidence</x:v>
      </x:c>
      <x:c r="M4" s="16" t="str">
        <x:v>Confidence method</x:v>
      </x:c>
      <x:c r="N4" s="16" t="str">
        <x:v>Compatibility</x:v>
      </x:c>
      <x:c r="O4" s="16" t="str">
        <x:v>Compatibility mode</x:v>
      </x:c>
      <x:c r="P4" s="16" t="str">
        <x:v>Compatibility checks JSON</x:v>
      </x:c>
      <x:c r="Q4" s="68" t="str">
        <x:v>Baseline DBU</x:v>
      </x:c>
      <x:c r="R4" s="68" t="str">
        <x:v>Baseline AWS</x:v>
      </x:c>
      <x:c r="S4" s="68" t="str">
        <x:v>Baseline total</x:v>
      </x:c>
      <x:c r="T4" s="68" t="str">
        <x:v>DBU save low</x:v>
      </x:c>
      <x:c r="U4" s="68" t="str">
        <x:v>DBU save base</x:v>
      </x:c>
      <x:c r="V4" s="68" t="str">
        <x:v>DBU save high</x:v>
      </x:c>
      <x:c r="W4" s="68" t="str">
        <x:v>AWS save low</x:v>
      </x:c>
      <x:c r="X4" s="68" t="str">
        <x:v>AWS save base</x:v>
      </x:c>
      <x:c r="Y4" s="68" t="str">
        <x:v>AWS save high</x:v>
      </x:c>
      <x:c r="Z4" s="68" t="str">
        <x:v>Total save low</x:v>
      </x:c>
      <x:c r="AA4" s="68" t="str">
        <x:v>Total save base</x:v>
      </x:c>
      <x:c r="AB4" s="68" t="str">
        <x:v>Total save high</x:v>
      </x:c>
      <x:c r="AC4" s="68" t="str">
        <x:v>Est. cost low</x:v>
      </x:c>
      <x:c r="AD4" s="68" t="str">
        <x:v>Est. cost base</x:v>
      </x:c>
      <x:c r="AE4" s="68" t="str">
        <x:v>Est. cost high</x:v>
      </x:c>
      <x:c r="AF4" s="16" t="str">
        <x:v>Estimation status</x:v>
      </x:c>
      <x:c r="AG4" s="16" t="str">
        <x:v>Execution plan</x:v>
      </x:c>
      <x:c r="AH4" s="16" t="str">
        <x:v>Execution plan JSON</x:v>
      </x:c>
      <x:c r="AI4" s="16" t="str">
        <x:v>Candidate IDs JSON</x:v>
      </x:c>
      <x:c r="AJ4" s="16" t="str">
        <x:v>Dependencies JSON</x:v>
      </x:c>
      <x:c r="AK4" s="16" t="str">
        <x:v>Invalidations JSON</x:v>
      </x:c>
      <x:c r="AL4" s="16" t="str">
        <x:v>Remeasure</x:v>
      </x:c>
      <x:c r="AM4" s="66" t="str">
        <x:v>Remeasure days</x:v>
      </x:c>
    </x:row>
    <x:row r="5" ht="66" customHeight="1">
      <x:c r="A5" s="22" t="str">
        <x:v>PKG-C1928BFAD6E14C166A0F518D</x:v>
      </x:c>
      <x:c r="B5" s="22" t="str">
        <x:v>SCN-669E0ED750DDE520F0F03317</x:v>
      </x:c>
      <x:c r="C5" s="22" t="str">
        <x:v>1234567890123456</x:v>
      </x:c>
      <x:c r="D5" s="22" t="str">
        <x:v>wh-synth-001</x:v>
      </x:c>
      <x:c r="E5" s="24" t="str">
        <x:v>BI - Sales</x:v>
      </x:c>
      <x:c r="F5" s="24" t="str">
        <x:v>sales-bi@databricks.example</x:v>
      </x:c>
      <x:c r="G5" s="24" t="str">
        <x:v>Plan A — Optimize current warehouse type</x:v>
      </x:c>
      <x:c r="H5" s="22" t="str">
        <x:v>IN_PLACE_OPTIMIZATION</x:v>
      </x:c>
      <x:c r="I5" s="22" t="str">
        <x:v>RECOMMENDED</x:v>
      </x:c>
      <x:c r="J5" s="64" t="b">
        <x:v>1</x:v>
      </x:c>
      <x:c r="K5" s="73" t="n">
        <x:v>0.78</x:v>
      </x:c>
      <x:c r="L5" s="22" t="str">
        <x:v>MEDIUM</x:v>
      </x:c>
      <x:c r="M5" s="24" t="str">
        <x:v>BOTTLENECK_MINIMUM_STEP_CONFIDENCE</x:v>
      </x:c>
      <x:c r="N5" s="22" t="str">
        <x:v>COMPATIBLE</x:v>
      </x:c>
      <x:c r="O5" s="22" t="str">
        <x:v>SYSTEM_TABLE_ONLY</x:v>
      </x:c>
      <x:c r="P5" s="22" t="str">
        <x:v>[]</x:v>
      </x:c>
      <x:c r="Q5" s="28" t="n">
        <x:v>27000</x:v>
      </x:c>
      <x:c r="R5" s="28" t="n">
        <x:v>11725.1</x:v>
      </x:c>
      <x:c r="S5" s="28" t="n">
        <x:v>38725.1</x:v>
      </x:c>
      <x:c r="T5" s="28" t="n">
        <x:v>6075</x:v>
      </x:c>
      <x:c r="U5" s="28" t="n">
        <x:v>9450</x:v>
      </x:c>
      <x:c r="V5" s="28" t="n">
        <x:v>12150</x:v>
      </x:c>
      <x:c r="W5" s="28" t="n">
        <x:v>820.76</x:v>
      </x:c>
      <x:c r="X5" s="28" t="n">
        <x:v>2579.52</x:v>
      </x:c>
      <x:c r="Y5" s="28" t="n">
        <x:v>3986.53</x:v>
      </x:c>
      <x:c r="Z5" s="28" t="n">
        <x:v>6895.76</x:v>
      </x:c>
      <x:c r="AA5" s="28" t="n">
        <x:v>12029.52</x:v>
      </x:c>
      <x:c r="AB5" s="28" t="n">
        <x:v>16136.53</x:v>
      </x:c>
      <x:c r="AC5" s="28" t="n">
        <x:v>22588.57</x:v>
      </x:c>
      <x:c r="AD5" s="28" t="n">
        <x:v>26695.58</x:v>
      </x:c>
      <x:c r="AE5" s="28" t="n">
        <x:v>31829.34</x:v>
      </x:c>
      <x:c r="AF5" s="22" t="str">
        <x:v>PROVISIONAL_MODELED_RANGE</x:v>
      </x:c>
      <x:c r="AG5" s="24" t="str">
        <x:v>Plan A — Optimize current warehouse type
1. warehouse_size: LARGE → MEDIUM [READY_FOR_CANARY]
2. max_clusters: 4 → 3 [PENDING_REEVALUATION]
3. min_clusters: 2 → 1 [PENDING_REEVALUATION]
4. auto_stop_minutes: 120 → 30 [PENDING_REEVALUATION]
5. REMEASURE_AND_REGENERATE [REQUIRED]
   Re-measure 7 days</x:v>
      </x:c>
      <x:c r="AH5" s="22" t="str">
        <x:v>[{"action":null,"candidate_id":"CAND-7D8091C10AAFE918B0A7C127","confidence":{"components":{"coverage":1.0,"epoch_maturity":1.0,"sample":1.0,"signal":1.0,"stability":0.91},"level":"MEDIUM","method":"deterministic_evidence_score","score":0.78},"current_value":"LARGE","dependencies":[{"condition":null,"dependency_type":"KNOB","ref_id":"warehouse_channel"},{"condition":null,"dependency_type":"KNOB","ref_id":"enable_photon"}],"execution_state":"READY_FOR_CANARY","invalidates":["max_clusters","min_clusters","auto_stop_minutes"],"knob":"warehouse_size","recommended_value":"MEDIUM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AABB1CB6F62253EC264D2DB7","confidence":{"components":{"coverage":1.0,"epoch_maturity":1.0,"sample":1.0,"signal":1.0,"stability":0.91},"level":"HIGH","method":"deterministic_evidence_score","score":0.93},"current_value":4,"dependencies":[{"condition":null,"dependency_type":"KNOB","ref_id":"warehouse_size"}],"execution_state":"PENDING_REEVALUATION","invalidates":["min_clusters"],"knob":"max_clusters","recommended_value":3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null,"candidate_id":"CAND-938E7478C6749F842CF92AB9","confidence":{"components":{"coverage":1.0,"epoch_maturity":1.0,"sample":1.0,"signal":1.0,"stability":0.91},"level":"HIGH","method":"deterministic_evidence_score","score":0.93},"current_value":2,"dependencies":[{"condition":null,"dependency_type":"KNOB","ref_id":"warehouse_size"},{"condition":null,"dependency_type":"KNOB","ref_id":"max_clusters"}],"execution_state":"PENDING_REEVALUATION","invalidates":["auto_stop_minutes"],"knob":"min_clusters","recommended_value":1,"step":3,"step_type":"CANDIDATE","technique_id":"WH-MIN-CLUSTER-REDUCE-001","validation":{"action_after":null,"remeasure_days":null,"success_metrics":["p95_execution_ms","p99_execution_ms","failure_rate","queue_wait","dbu_cost","aws_cost"],"validation_type":"A_B_CANARY"}},{"action":null,"candidate_id":"CAND-297B29996B10927E411B0AD2","confidence":{"components":{"coverage":1.0,"epoch_maturity":1.0,"sample":1.0,"signal":1.0,"stability":0.91},"level":"HIGH","method":"deterministic_evidence_score","score":0.93},"current_value":120,"dependencies":[{"condition":null,"dependency_type":"KNOB","ref_id":"min_clusters"}],"execution_state":"PENDING_REEVALUATION","invalidates":[],"knob":"auto_stop_minutes","recommended_value":30,"step":4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recommended_value":null,"step":5,"step_type":"REMEASURE","technique_id":null,"validation":{"action_after":"REGENERATE_RECOMMENDATIONS","remeasure_days":7,"success_metrics":[],"validation_type":"REMEASURE"}}]</x:v>
      </x:c>
      <x:c r="AI5" s="22" t="str">
        <x:v>["CAND-7D8091C10AAFE918B0A7C127","CAND-AABB1CB6F62253EC264D2DB7","CAND-938E7478C6749F842CF92AB9","CAND-297B29996B10927E411B0AD2"]</x:v>
      </x:c>
      <x:c r="AJ5" s="22" t="str">
        <x:v>[{"condition":null,"dependency_type":"KNOB","ref_id":"warehouse_channel"},{"condition":null,"dependency_type":"KNOB","ref_id":"enable_photon"},{"condition":null,"dependency_type":"KNOB","ref_id":"warehouse_size"},{"condition":null,"dependency_type":"KNOB","ref_id":"warehouse_size"},{"condition":null,"dependency_type":"KNOB","ref_id":"max_clusters"},{"condition":null,"dependency_type":"KNOB","ref_id":"min_clusters"}]</x:v>
      </x:c>
      <x:c r="AK5" s="22" t="str">
        <x:v>["auto_stop_minutes","max_clusters","min_clusters"]</x:v>
      </x:c>
      <x:c r="AL5" s="64" t="b">
        <x:v>1</x:v>
      </x:c>
      <x:c r="AM5" s="26" t="n">
        <x:v>7</x:v>
      </x:c>
    </x:row>
    <x:row r="6" ht="66" customHeight="1">
      <x:c r="A6" s="22" t="str">
        <x:v>PKG-C1928BFAD6E14C166A0F518D</x:v>
      </x:c>
      <x:c r="B6" s="22" t="str">
        <x:v>SCN-1DFDCB17E0622D63C6758AB4</x:v>
      </x:c>
      <x:c r="C6" s="22" t="str">
        <x:v>1234567890123456</x:v>
      </x:c>
      <x:c r="D6" s="22" t="str">
        <x:v>wh-synth-001</x:v>
      </x:c>
      <x:c r="E6" s="24" t="str">
        <x:v>BI - Sales</x:v>
      </x:c>
      <x:c r="F6" s="24" t="str">
        <x:v>sales-bi@databricks.example</x:v>
      </x:c>
      <x:c r="G6" s="24" t="str">
        <x:v>Plan B — Serverless migration experiment</x:v>
      </x:c>
      <x:c r="H6" s="22" t="str">
        <x:v>WAREHOUSE_TYPE_MIGRATION</x:v>
      </x:c>
      <x:c r="I6" s="22" t="str">
        <x:v>ALTERNATIVE</x:v>
      </x:c>
      <x:c r="J6" s="64" t="b">
        <x:v>0</x:v>
      </x:c>
      <x:c r="K6" s="73" t="n">
        <x:v>0.78</x:v>
      </x:c>
      <x:c r="L6" s="22" t="str">
        <x:v>MEDIUM</x:v>
      </x:c>
      <x:c r="M6" s="24" t="str">
        <x:v>BOTTLENECK_MINIMUM_STEP_CONFIDENCE</x:v>
      </x:c>
      <x:c r="N6" s="22" t="str">
        <x:v>REQUIRES_VALIDATION</x:v>
      </x:c>
      <x:c r="O6" s="22" t="str">
        <x:v>B_READ_ONLY_API</x:v>
      </x:c>
      <x:c r="P6" s="22" t="str">
        <x:v>[{"check":"aws_region_serverless_availability","details":"{\"policy\":\"Databricks documents Serverless SQL warehouse support across AWS regions.\",\"region\":\"us-east-1\"}","evidence_refs":["EVID-991A7E55326C074AF8DE4340"],"requires_hitl":false,"status":"PASS"},{"check":"workspace_serverless_observed","details":"false","evidence_refs":["EVID-0DE46D3A7F2CB6F96608B0E9"],"requires_hitl":true,"status":"UNKNOWN"},{"check":"workspace_serverless_enablement","details":"true","evidence_refs":["EVID-16D8831987E0F97DE428B9EE"],"requires_hitl":false,"status":"PASS"},{"check":"external_legacy_hive_metastore_workspace_setting","details":"{\"config_keys\":[],\"detected\":false}","evidence_refs":["EVID-746FED22B061CD51A85711B3"],"requires_hitl":false,"status":"PASS"},{"check":"s3_access_policy_compatibility","details":"\"UNKNOWN\"","evidence_refs":["EVID-BCE7B66A0A8286AA220E8C3C"],"requires_hitl":true,"status":"UNKNOWN"},{"check":"legacy_hive_metastore_sql_reference","details":"{\"reference_queries\":0,\"visible_pct\":100.0}","evidence_refs":["EVID-EDA6642957D4B62003EC4DF3"],"requires_hitl":true,"status":"UNKNOWN"}]</x:v>
      </x:c>
      <x:c r="Q6" s="28" t="n">
        <x:v>27000</x:v>
      </x:c>
      <x:c r="R6" s="28" t="n">
        <x:v>11725.1</x:v>
      </x:c>
      <x:c r="S6" s="28" t="n">
        <x:v>38725.1</x:v>
      </x:c>
      <x:c r="T6" s="28" t="n">
        <x:v>693.69</x:v>
      </x:c>
      <x:c r="U6" s="28" t="n">
        <x:v>693.69</x:v>
      </x:c>
      <x:c r="V6" s="28" t="n">
        <x:v>13846.85</x:v>
      </x:c>
      <x:c r="W6" s="28" t="n">
        <x:v>11725.1</x:v>
      </x:c>
      <x:c r="X6" s="28" t="n">
        <x:v>11725.1</x:v>
      </x:c>
      <x:c r="Y6" s="28" t="n">
        <x:v>11725.1</x:v>
      </x:c>
      <x:c r="Z6" s="28" t="n">
        <x:v>12418.79</x:v>
      </x:c>
      <x:c r="AA6" s="28" t="n">
        <x:v>12418.79</x:v>
      </x:c>
      <x:c r="AB6" s="28" t="n">
        <x:v>25571.95</x:v>
      </x:c>
      <x:c r="AC6" s="28" t="n">
        <x:v>13153.15</x:v>
      </x:c>
      <x:c r="AD6" s="28" t="n">
        <x:v>26306.31</x:v>
      </x:c>
      <x:c r="AE6" s="28" t="n">
        <x:v>26306.31</x:v>
      </x:c>
      <x:c r="AF6" s="22" t="str">
        <x:v>PRE_CANARY_MODELED_RANGE</x:v>
      </x:c>
      <x:c r="AG6" s="24" t="str">
        <x:v>Plan B — Serverless migration experiment
1. VALIDATE_WAREHOUSE_TYPE_COMPATIBILITY [REQUIRED]
2. warehouse_type: PRO → SERVERLESS [READY_FOR_CANARY]
3. REMEASURE_AND_REGENERATE [REQUIRED]
   Re-measure 7 days</x:v>
      </x:c>
      <x:c r="AH6" s="22" t="str">
        <x:v>[{"action":"VALIDATE_WAREHOUSE_TYPE_COMPATIBILITY","candidate_id":null,"confidence":{"components":{},"level":"MEDIUM","method":"compatibility_and_scenario_evidence","score":0.78},"current_value":null,"dependencies":[],"execution_state":"REQUIRED","invalidates":[],"knob":null,"recommended_value":null,"step":1,"step_type":"COMPATIBILITY_VALIDATION","technique_id":null,"validation":{"action_after":"CONTINUE_IF_PASS","remeasure_days":null,"success_metrics":[],"validation_type":"COMPATIBILITY"}},{"action":null,"candidate_id":"CAND-B8B0FF2C9E23C9957E283E88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recommended_value":null,"step":3,"step_type":"REMEASURE","technique_id":null,"validation":{"action_after":"REGENERATE_RECOMMENDATIONS","remeasure_days":7,"success_metrics":[],"validation_type":"REMEASURE"}}]</x:v>
      </x:c>
      <x:c r="AI6" s="22" t="str">
        <x:v>["CAND-B8B0FF2C9E23C9957E283E88"]</x:v>
      </x:c>
      <x:c r="AJ6" s="22" t="str">
        <x:v>[]</x:v>
      </x:c>
      <x:c r="AK6" s="22" t="str">
        <x:v>["auto_stop_minutes","max_clusters","min_clusters","warehouse_size"]</x:v>
      </x:c>
      <x:c r="AL6" s="64" t="b">
        <x:v>1</x:v>
      </x:c>
      <x:c r="AM6" s="26" t="n">
        <x:v>7</x:v>
      </x:c>
    </x:row>
  </x:sheetData>
  <x:mergeCells>
    <x:mergeCell ref="A1:AM1"/>
    <x:mergeCell ref="A2:AM2"/>
  </x:mergeCells>
  <x:conditionalFormatting sqref="I5:I6">
    <x:cfRule type="expression" dxfId="45" priority="1">
      <x:formula>I5="ACTIONABLE"</x:formula>
    </x:cfRule>
    <x:cfRule type="expression" dxfId="46" priority="2">
      <x:formula>I5="RECOMMENDED"</x:formula>
    </x:cfRule>
    <x:cfRule type="expression" dxfId="47" priority="3">
      <x:formula>I5="HIGH"</x:formula>
    </x:cfRule>
    <x:cfRule type="expression" dxfId="48" priority="4">
      <x:formula>I5="SUFFICIENT"</x:formula>
    </x:cfRule>
    <x:cfRule type="expression" dxfId="49" priority="5">
      <x:formula>I5="TEST_REQUIRED"</x:formula>
    </x:cfRule>
    <x:cfRule type="expression" dxfId="50" priority="6">
      <x:formula>I5="REVIEW"</x:formula>
    </x:cfRule>
    <x:cfRule type="expression" dxfId="51" priority="7">
      <x:formula>I5="MEDIUM"</x:formula>
    </x:cfRule>
    <x:cfRule type="expression" dxfId="52" priority="8">
      <x:formula>I5="PARTIAL"</x:formula>
    </x:cfRule>
    <x:cfRule type="expression" dxfId="53" priority="9">
      <x:formula>I5="BLOCKED"</x:formula>
    </x:cfRule>
    <x:cfRule type="expression" dxfId="54" priority="10">
      <x:formula>I5="LOW"</x:formula>
    </x:cfRule>
    <x:cfRule type="expression" dxfId="55" priority="11">
      <x:formula>I5="INSUFFICIENT_EVIDENCE"</x:formula>
    </x:cfRule>
    <x:cfRule type="expression" dxfId="56" priority="12">
      <x:formula>I5="NO_CHANGE"</x:formula>
    </x:cfRule>
    <x:cfRule type="expression" dxfId="57" priority="13">
      <x:formula>I5="NOT_APPLICABLE"</x:formula>
    </x:cfRule>
    <x:cfRule type="expression" dxfId="58" priority="14">
      <x:formula>I5="ALTERNATIVE"</x:formula>
    </x:cfRule>
  </x:conditionalFormatting>
  <x:conditionalFormatting sqref="L5:L6">
    <x:cfRule type="expression" dxfId="59" priority="15">
      <x:formula>L5="ACTIONABLE"</x:formula>
    </x:cfRule>
    <x:cfRule type="expression" dxfId="60" priority="16">
      <x:formula>L5="RECOMMENDED"</x:formula>
    </x:cfRule>
    <x:cfRule type="expression" dxfId="61" priority="17">
      <x:formula>L5="HIGH"</x:formula>
    </x:cfRule>
    <x:cfRule type="expression" dxfId="62" priority="18">
      <x:formula>L5="SUFFICIENT"</x:formula>
    </x:cfRule>
    <x:cfRule type="expression" dxfId="63" priority="19">
      <x:formula>L5="TEST_REQUIRED"</x:formula>
    </x:cfRule>
    <x:cfRule type="expression" dxfId="64" priority="20">
      <x:formula>L5="REVIEW"</x:formula>
    </x:cfRule>
    <x:cfRule type="expression" dxfId="65" priority="21">
      <x:formula>L5="MEDIUM"</x:formula>
    </x:cfRule>
    <x:cfRule type="expression" dxfId="66" priority="22">
      <x:formula>L5="PARTIAL"</x:formula>
    </x:cfRule>
    <x:cfRule type="expression" dxfId="67" priority="23">
      <x:formula>L5="BLOCKED"</x:formula>
    </x:cfRule>
    <x:cfRule type="expression" dxfId="68" priority="24">
      <x:formula>L5="LOW"</x:formula>
    </x:cfRule>
    <x:cfRule type="expression" dxfId="69" priority="25">
      <x:formula>L5="INSUFFICIENT_EVIDENCE"</x:formula>
    </x:cfRule>
    <x:cfRule type="expression" dxfId="70" priority="26">
      <x:formula>L5="NO_CHANGE"</x:formula>
    </x:cfRule>
    <x:cfRule type="expression" dxfId="71" priority="27">
      <x:formula>L5="NOT_APPLICABLE"</x:formula>
    </x:cfRule>
    <x:cfRule type="expression" dxfId="72" priority="28">
      <x:formula>L5="ALTERNATIVE"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0cfc96849c43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15" hidden="0" customWidth="1"/>
    <x:col min="16" max="16" width="15" hidden="0" customWidth="1"/>
    <x:col min="17" max="17" width="35" hidden="0" customWidth="1"/>
    <x:col min="18" max="18" width="28" hidden="0" customWidth="1"/>
    <x:col min="19" max="19" width="58" hidden="0" customWidth="1"/>
    <x:col min="20" max="20" width="42" hidden="0" customWidth="1"/>
    <x:col min="21" max="21" width="42" hidden="0" customWidth="1"/>
    <x:col min="22" max="22" width="32" hidden="0" customWidth="1"/>
    <x:col min="23" max="23" width="28" hidden="0" customWidth="1"/>
    <x:col min="24" max="24" width="36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38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42" hidden="0" customWidth="1"/>
  </x:cols>
  <x:sheetData>
    <x:row r="1" ht="30" customHeight="1">
      <x:c r="A1" s="4" t="str">
        <x:v>Recommendation Registry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</x:row>
    <x:row r="2" ht="28" customHeight="1">
      <x:c r="A2" s="10" t="str">
        <x:v>One row per candidate. This is the detailed HITL/audit surface: technique, rationale, confidence, evidence/findings, thresholds, blockers, independent economics, scenario membership, and realization.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  <x:c r="AS2" s="10"/>
      <x:c r="AT2" s="10"/>
      <x:c r="AU2" s="10"/>
      <x:c r="AV2" s="10"/>
      <x:c r="AW2" s="10"/>
      <x:c r="AX2" s="10"/>
      <x:c r="AY2" s="10"/>
    </x:row>
    <x:row r="4" ht="34" customHeight="1">
      <x:c r="A4" s="16" t="str">
        <x:v>Package ID</x:v>
      </x:c>
      <x:c r="B4" s="16" t="str">
        <x:v>Candidate ID</x:v>
      </x:c>
      <x:c r="C4" s="16" t="str">
        <x:v>Technique ID</x:v>
      </x:c>
      <x:c r="D4" s="16" t="str">
        <x:v>Workspace ID</x:v>
      </x:c>
      <x:c r="E4" s="16" t="str">
        <x:v>Warehouse ID</x:v>
      </x:c>
      <x:c r="F4" s="16" t="str">
        <x:v>Warehouse</x:v>
      </x:c>
      <x:c r="G4" s="16" t="str">
        <x:v>Owner</x:v>
      </x:c>
      <x:c r="H4" s="16" t="str">
        <x:v>Epoch ID</x:v>
      </x:c>
      <x:c r="I4" s="16" t="str">
        <x:v>Knob</x:v>
      </x:c>
      <x:c r="J4" s="16" t="str">
        <x:v>Status</x:v>
      </x:c>
      <x:c r="K4" s="16" t="str">
        <x:v>Objectives</x:v>
      </x:c>
      <x:c r="L4" s="16" t="str">
        <x:v>Current</x:v>
      </x:c>
      <x:c r="M4" s="16" t="str">
        <x:v>Recommended</x:v>
      </x:c>
      <x:c r="N4" s="16" t="str">
        <x:v>Rationale</x:v>
      </x:c>
      <x:c r="O4" s="72" t="str">
        <x:v>Confidence score</x:v>
      </x:c>
      <x:c r="P4" s="16" t="str">
        <x:v>Confidence</x:v>
      </x:c>
      <x:c r="Q4" s="16" t="str">
        <x:v>Confidence components JSON</x:v>
      </x:c>
      <x:c r="R4" s="16" t="str">
        <x:v>Evidence refs</x:v>
      </x:c>
      <x:c r="S4" s="16" t="str">
        <x:v>Evidence / findings JSON</x:v>
      </x:c>
      <x:c r="T4" s="16" t="str">
        <x:v>Decision rule</x:v>
      </x:c>
      <x:c r="U4" s="16" t="str">
        <x:v>Thresholds JSON</x:v>
      </x:c>
      <x:c r="V4" s="16" t="str">
        <x:v>Dependencies JSON</x:v>
      </x:c>
      <x:c r="W4" s="16" t="str">
        <x:v>Invalidates JSON</x:v>
      </x:c>
      <x:c r="X4" s="16" t="str">
        <x:v>Blockers JSON</x:v>
      </x:c>
      <x:c r="Y4" s="16" t="str">
        <x:v>Economics available</x:v>
      </x:c>
      <x:c r="Z4" s="68" t="str">
        <x:v>Baseline DBU</x:v>
      </x:c>
      <x:c r="AA4" s="68" t="str">
        <x:v>Baseline AWS</x:v>
      </x:c>
      <x:c r="AB4" s="68" t="str">
        <x:v>Baseline total</x:v>
      </x:c>
      <x:c r="AC4" s="68" t="str">
        <x:v>DBU save low</x:v>
      </x:c>
      <x:c r="AD4" s="68" t="str">
        <x:v>DBU save base</x:v>
      </x:c>
      <x:c r="AE4" s="68" t="str">
        <x:v>DBU save high</x:v>
      </x:c>
      <x:c r="AF4" s="68" t="str">
        <x:v>AWS save low</x:v>
      </x:c>
      <x:c r="AG4" s="68" t="str">
        <x:v>AWS save base</x:v>
      </x:c>
      <x:c r="AH4" s="68" t="str">
        <x:v>AWS save high</x:v>
      </x:c>
      <x:c r="AI4" s="68" t="str">
        <x:v>Total save low</x:v>
      </x:c>
      <x:c r="AJ4" s="68" t="str">
        <x:v>Total save base</x:v>
      </x:c>
      <x:c r="AK4" s="68" t="str">
        <x:v>Total save high</x:v>
      </x:c>
      <x:c r="AL4" s="68" t="str">
        <x:v>Est. cost low</x:v>
      </x:c>
      <x:c r="AM4" s="68" t="str">
        <x:v>Est. cost base</x:v>
      </x:c>
      <x:c r="AN4" s="68" t="str">
        <x:v>Est. cost high</x:v>
      </x:c>
      <x:c r="AO4" s="16" t="str">
        <x:v>Additive?</x:v>
      </x:c>
      <x:c r="AP4" s="16" t="str">
        <x:v>Scenario membership JSON</x:v>
      </x:c>
      <x:c r="AQ4" s="16" t="str">
        <x:v>Realization</x:v>
      </x:c>
      <x:c r="AR4" s="16" t="str">
        <x:v>Applied at</x:v>
      </x:c>
      <x:c r="AS4" s="16" t="str">
        <x:v>Validation</x:v>
      </x:c>
      <x:c r="AT4" s="68" t="str">
        <x:v>Realized DBU save</x:v>
      </x:c>
      <x:c r="AU4" s="68" t="str">
        <x:v>Realized AWS save</x:v>
      </x:c>
      <x:c r="AV4" s="68" t="str">
        <x:v>Realized total save</x:v>
      </x:c>
      <x:c r="AW4" s="68" t="str">
        <x:v>Annualized realized save</x:v>
      </x:c>
      <x:c r="AX4" s="16" t="str">
        <x:v>Rollback?</x:v>
      </x:c>
      <x:c r="AY4" s="16" t="str">
        <x:v>Realization JSON</x:v>
      </x:c>
    </x:row>
    <x:row r="5" ht="54" customHeight="1">
      <x:c r="A5" s="22" t="str">
        <x:v>PKG-C1928BFAD6E14C166A0F518D</x:v>
      </x:c>
      <x:c r="B5" s="22" t="str">
        <x:v>CAND-ED593F8D45EFA6CAB149B2FF</x:v>
      </x:c>
      <x:c r="C5" s="22" t="str">
        <x:v>WH-CHANNEL-CURRENT-001</x:v>
      </x:c>
      <x:c r="D5" s="22" t="str">
        <x:v>1234567890123456</x:v>
      </x:c>
      <x:c r="E5" s="22" t="str">
        <x:v>wh-synth-001</x:v>
      </x:c>
      <x:c r="F5" s="24" t="str">
        <x:v>BI - Sales</x:v>
      </x:c>
      <x:c r="G5" s="24" t="str">
        <x:v>sales-bi@databricks.example</x:v>
      </x:c>
      <x:c r="H5" s="22" t="str">
        <x:v>EPOCH-90F9FB8E6BAEFDC508183AC2</x:v>
      </x:c>
      <x:c r="I5" s="22" t="str">
        <x:v>warehouse_channel</x:v>
      </x:c>
      <x:c r="J5" s="22" t="str">
        <x:v>NO_CHANGE</x:v>
      </x:c>
      <x:c r="K5" s="24" t="str">
        <x:v>STABILITY</x:v>
      </x:c>
      <x:c r="L5" s="24" t="str">
        <x:v>CURRENT</x:v>
      </x:c>
      <x:c r="M5" s="24" t="str">
        <x:v>CURRENT</x:v>
      </x:c>
      <x:c r="N5" s="24" t="str">
        <x:v>No channel change indicated.</x:v>
      </x:c>
      <x:c r="O5" s="73" t="n">
        <x:v>0.8</x:v>
      </x:c>
      <x:c r="P5" s="22" t="str">
        <x:v>HIGH</x:v>
      </x:c>
      <x:c r="Q5" s="22" t="str">
        <x:v>{"coverage":1.0,"epoch_maturity":1.0,"sample":1.0,"signal":0.7,"stability":0.91}</x:v>
      </x:c>
      <x:c r="R5" s="22" t="str">
        <x:v>["EVID-9F57601D7601AD949053633C","EVID-65ADAC65D01DAEC470E7B3E4","EVID-941BE40F20A14CA11A130748","EVID-6C45A23DC840A92F3BFC102C","EVID-C0A8B86FC6694C973270EFA1"]</x:v>
      </x:c>
      <x:c r="S5" s="22" t="str">
        <x:v>{"EVID-65ADAC65D01DAEC470E7B3E4":{"comparator":"","epoch_scope":"CURRENT","evidence_id":"EVID-65ADAC65D01DAEC470E7B3E4","interpretation":"Observed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-9F57601D7601AD949053633C":{"comparator":"","epoch_scope":"CURRENT","evidence_id":"EVID-9F57601D7601AD949053633C","interpretation":"Current release channel from the current configuration epoch.","metric":"warehouse_channel","observation_window":"current epoch","source":"system.compute.warehouses","source_field":"warehouse_channel","threshold":null,"unit":"value","value":"CURRENT"},"EVID-C0A8B86FC6694C973270EFA1":{"comparator":"","epoch_scope":"CURRENT","evidence_id":"EVID-C0A8B86FC6694C973270EFA1","interpretation":"Calendar-day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model.","metric":"cost_history_days","observation_window":"current_epoch","source":"system.billing.usage","source_field":"usage_date","threshold":null,"unit":"days","value":259}}</x:v>
      </x:c>
      <x:c r="T5" s="24" t="str"/>
      <x:c r="U5" s="22" t="str">
        <x:v>[]</x:v>
      </x:c>
      <x:c r="V5" s="22" t="str">
        <x:v>[]</x:v>
      </x:c>
      <x:c r="W5" s="22" t="str">
        <x:v>[]</x:v>
      </x:c>
      <x:c r="X5" s="22" t="str">
        <x:v>[]</x:v>
      </x:c>
      <x:c r="Y5" s="64" t="b">
        <x:v>1</x:v>
      </x:c>
      <x:c r="Z5" s="28" t="n">
        <x:v>27000</x:v>
      </x:c>
      <x:c r="AA5" s="28" t="n">
        <x:v>11725.1</x:v>
      </x:c>
      <x:c r="AB5" s="28" t="n">
        <x:v>38725.1</x:v>
      </x:c>
      <x:c r="AC5" s="28" t="n">
        <x:v>0</x:v>
      </x:c>
      <x:c r="AD5" s="28" t="n">
        <x:v>0</x:v>
      </x:c>
      <x:c r="AE5" s="28" t="n">
        <x:v>0</x:v>
      </x:c>
      <x:c r="AF5" s="28" t="n">
        <x:v>0</x:v>
      </x:c>
      <x:c r="AG5" s="28" t="n">
        <x:v>0</x:v>
      </x:c>
      <x:c r="AH5" s="28" t="n">
        <x:v>0</x:v>
      </x:c>
      <x:c r="AI5" s="28" t="n">
        <x:v>0</x:v>
      </x:c>
      <x:c r="AJ5" s="28" t="n">
        <x:v>0</x:v>
      </x:c>
      <x:c r="AK5" s="28" t="n">
        <x:v>0</x:v>
      </x:c>
      <x:c r="AL5" s="28" t="n">
        <x:v>38725.1</x:v>
      </x:c>
      <x:c r="AM5" s="28" t="n">
        <x:v>38725.1</x:v>
      </x:c>
      <x:c r="AN5" s="28" t="n">
        <x:v>38725.1</x:v>
      </x:c>
      <x:c r="AO5" s="64" t="b">
        <x:v>0</x:v>
      </x:c>
      <x:c r="AP5" s="22" t="str">
        <x:v>[]</x:v>
      </x:c>
      <x:c r="AQ5" s="22" t="str">
        <x:v>NOT_APPLIED</x:v>
      </x:c>
      <x:c r="AR5" s="22"/>
      <x:c r="AS5" s="22"/>
      <x:c r="AT5" s="28"/>
      <x:c r="AU5" s="28"/>
      <x:c r="AV5" s="28"/>
      <x:c r="AW5" s="28"/>
      <x:c r="AX5" s="22"/>
      <x:c r="AY5" s="22" t="str">
        <x:v>[]</x:v>
      </x:c>
    </x:row>
    <x:row r="6" ht="54" customHeight="1">
      <x:c r="A6" s="22" t="str">
        <x:v>PKG-C1928BFAD6E14C166A0F518D</x:v>
      </x:c>
      <x:c r="B6" s="22" t="str">
        <x:v>CAND-EE972CA4DAC7A56B7D77DEFB</x:v>
      </x:c>
      <x:c r="C6" s="22" t="str">
        <x:v>WH-PHOTON-ENABLE-001</x:v>
      </x:c>
      <x:c r="D6" s="22" t="str">
        <x:v>1234567890123456</x:v>
      </x:c>
      <x:c r="E6" s="22" t="str">
        <x:v>wh-synth-001</x:v>
      </x:c>
      <x:c r="F6" s="24" t="str">
        <x:v>BI - Sales</x:v>
      </x:c>
      <x:c r="G6" s="24" t="str">
        <x:v>sales-bi@databricks.example</x:v>
      </x:c>
      <x:c r="H6" s="22" t="str">
        <x:v>EPOCH-90F9FB8E6BAEFDC508183AC2</x:v>
      </x:c>
      <x:c r="I6" s="22" t="str">
        <x:v>enable_photon</x:v>
      </x:c>
      <x:c r="J6" s="22" t="str">
        <x:v>NO_CHANGE</x:v>
      </x:c>
      <x:c r="K6" s="24" t="str">
        <x:v>COST_AND_PERFORMANCE</x:v>
      </x:c>
      <x:c r="L6" s="76" t="b">
        <x:v>1</x:v>
      </x:c>
      <x:c r="M6" s="76" t="b">
        <x:v>1</x:v>
      </x:c>
      <x:c r="N6" s="24" t="str">
        <x:v>Current-epoch billing evidence consistently shows Photon-enabled DBU usage.</x:v>
      </x:c>
      <x:c r="O6" s="73" t="n">
        <x:v>0.8</x:v>
      </x:c>
      <x:c r="P6" s="22" t="str">
        <x:v>HIGH</x:v>
      </x:c>
      <x:c r="Q6" s="22" t="str">
        <x:v>{"coverage":1.0,"epoch_maturity":1.0,"photon_observation":0.96,"sample":1.0,"signal":0.7,"stability":0.91}</x:v>
      </x:c>
      <x:c r="R6" s="22" t="str">
        <x:v>["EVID-C667A286F56B35D086ED91C1","EVID-F1AF3966D3D1C53F2F59E006","EVID-3E3280046A3BF0609ACE0882","EVID-734CE6CA20000AD9475C8ADA","EVID-65ADAC65D01DAEC470E7B3E4","EVID-941BE40F20A14CA11A130748","EVID-6C45A23DC840A92F3BFC102C","EVID-C0A8B86FC6694C973270EFA1"]</x:v>
      </x:c>
      <x:c r="S6" s="22" t="str">
        <x:v>{"EVID-3E3280046A3BF0609ACE0882":{"comparator":"&gt;= inference coverage","epoch_scope":"CURRENT","evidence_id":"EVID-3E3280046A3BF0609ACE0882","interpretation":"Coverage of non-null Photon feature attribution used to decide whether inference is reliable.","metric":"photon_feature_coverage_pct","observation_window":"signed DBU usage within current warehouse epoch","source":"system.billing.usage","source_field":"product_features.is_photon","threshold":90.0,"unit":"%","value":100.0},"EVID-65ADAC65D01DAEC470E7B3E4":{"comparator":"","epoch_scope":"CURRENT","evidence_id":"EVID-65ADAC65D01DAEC470E7B3E4","interpretation":"Observed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unavailable.","metric":"forward_aws_cost_365d","observation_window":"forward_365d","source":"derived","source_field":"aws_current_epoch_cost_model","threshold":null,"unit":"USD","value":11725.1},"EVID-734CE6CA20000AD9475C8ADA":{"comparator":"&lt;= freshness guardrail","epoch_scope":"CURRENT","evidence_id":"EVID-734CE6CA20000AD9475C8ADA","interpretation":"Age of the most recent DBU billing evidence supporting Photon inference.","metric":"photon_freshness_days","observation_window":"current warehouse epoch","source":"system.billing.usage","source_field":"usage_end_time","threshold":14,"unit":"days","value":0},"EVID-941BE40F20A14CA11A130748":{"comparator":"","epoch_scope":"CURRENT","evidence_id":"EVID-941BE40F20A14CA11A130748","interpretation":"No-change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,"EVID-C667A286F56B35D086ED91C1":{"comparator":"","epoch_scope":"CURRENT","evidence_id":"EVID-C667A286F56B35D086ED91C1","interpretation":"Observed Photon workload state inferred from billing feature attribution.","metric":"photon_observed_status","observation_window":"signed DBU usage within current warehouse epoch","source":"system.billing.usage","source_field":"product_features.is_photon","threshold":null,"unit":"value","value":"ENABLED"},"EVID-F1AF3966D3D1C53F2F59E006":{"comparator":"&gt;= enabled inference","epoch_scope":"CURRENT","evidence_id":"EVID-F1AF3966D3D1C53F2F59E006","interpretation":"Share of known Photon-attributed DBUs observed with Photon enabled.","metric":"photon_enabled_usage_pct","observation_window":"signed DBU usage within current warehouse epoch","source":"system.billing.usage","source_field":"product_features.is_photon + usage_quantity","threshold":95.0,"unit":"%","value":100.0}}</x:v>
      </x:c>
      <x:c r="T6" s="24" t="str">
        <x:v>photon_enabled_usage_pct &gt;= enabled inference 95.0; photon_feature_coverage_pct &gt;= inference coverage 90.0; photon_freshness_days &lt;= freshness guardrail 14</x:v>
      </x:c>
      <x:c r="U6" s="22" t="str">
        <x:v>[{"comparator":"&gt;= enabled inference","evidence_id":"EVID-F1AF3966D3D1C53F2F59E006","metric":"photon_enabled_usage_pct","threshold":95.0},{"comparator":"&gt;= inference coverage","evidence_id":"EVID-3E3280046A3BF0609ACE0882","metric":"photon_feature_coverage_pct","threshold":90.0},{"comparator":"&lt;= freshness guardrail","evidence_id":"EVID-734CE6CA20000AD9475C8ADA","metric":"photon_freshness_days","threshold":14}]</x:v>
      </x:c>
      <x:c r="V6" s="22" t="str">
        <x:v>[{"condition":null,"dependency_type":"KNOB","ref_id":"warehouse_channel"}]</x:v>
      </x:c>
      <x:c r="W6" s="22" t="str">
        <x:v>[]</x:v>
      </x:c>
      <x:c r="X6" s="22" t="str">
        <x:v>[]</x:v>
      </x:c>
      <x:c r="Y6" s="64" t="b">
        <x:v>1</x:v>
      </x:c>
      <x:c r="Z6" s="28" t="n">
        <x:v>27000</x:v>
      </x:c>
      <x:c r="AA6" s="28" t="n">
        <x:v>11725.1</x:v>
      </x:c>
      <x:c r="AB6" s="28" t="n">
        <x:v>38725.1</x:v>
      </x:c>
      <x:c r="AC6" s="28" t="n">
        <x:v>0</x:v>
      </x:c>
      <x:c r="AD6" s="28" t="n">
        <x:v>0</x:v>
      </x:c>
      <x:c r="AE6" s="28" t="n">
        <x:v>0</x:v>
      </x:c>
      <x:c r="AF6" s="28" t="n">
        <x:v>0</x:v>
      </x:c>
      <x:c r="AG6" s="28" t="n">
        <x:v>0</x:v>
      </x:c>
      <x:c r="AH6" s="28" t="n">
        <x:v>0</x:v>
      </x:c>
      <x:c r="AI6" s="28" t="n">
        <x:v>0</x:v>
      </x:c>
      <x:c r="AJ6" s="28" t="n">
        <x:v>0</x:v>
      </x:c>
      <x:c r="AK6" s="28" t="n">
        <x:v>0</x:v>
      </x:c>
      <x:c r="AL6" s="28" t="n">
        <x:v>38725.1</x:v>
      </x:c>
      <x:c r="AM6" s="28" t="n">
        <x:v>38725.1</x:v>
      </x:c>
      <x:c r="AN6" s="28" t="n">
        <x:v>38725.1</x:v>
      </x:c>
      <x:c r="AO6" s="64" t="b">
        <x:v>0</x:v>
      </x:c>
      <x:c r="AP6" s="22" t="str">
        <x:v>[]</x:v>
      </x:c>
      <x:c r="AQ6" s="22" t="str">
        <x:v>NOT_APPLIED</x:v>
      </x:c>
      <x:c r="AR6" s="22"/>
      <x:c r="AS6" s="22"/>
      <x:c r="AT6" s="28"/>
      <x:c r="AU6" s="28"/>
      <x:c r="AV6" s="28"/>
      <x:c r="AW6" s="28"/>
      <x:c r="AX6" s="22"/>
      <x:c r="AY6" s="22" t="str">
        <x:v>[]</x:v>
      </x:c>
    </x:row>
    <x:row r="7" ht="54" customHeight="1">
      <x:c r="A7" s="22" t="str">
        <x:v>PKG-C1928BFAD6E14C166A0F518D</x:v>
      </x:c>
      <x:c r="B7" s="22" t="str">
        <x:v>CAND-7D8091C10AAFE918B0A7C127</x:v>
      </x:c>
      <x:c r="C7" s="22" t="str">
        <x:v>WH-SIZE-DOWNSIZE-001</x:v>
      </x:c>
      <x:c r="D7" s="22" t="str">
        <x:v>1234567890123456</x:v>
      </x:c>
      <x:c r="E7" s="22" t="str">
        <x:v>wh-synth-001</x:v>
      </x:c>
      <x:c r="F7" s="24" t="str">
        <x:v>BI - Sales</x:v>
      </x:c>
      <x:c r="G7" s="24" t="str">
        <x:v>sales-bi@databricks.example</x:v>
      </x:c>
      <x:c r="H7" s="22" t="str">
        <x:v>EPOCH-90F9FB8E6BAEFDC508183AC2</x:v>
      </x:c>
      <x:c r="I7" s="22" t="str">
        <x:v>warehouse_size</x:v>
      </x:c>
      <x:c r="J7" s="22" t="str">
        <x:v>TEST_REQUIRED</x:v>
      </x:c>
      <x:c r="K7" s="24" t="str">
        <x:v>COST</x:v>
      </x:c>
      <x:c r="L7" s="24" t="str">
        <x:v>LARGE</x:v>
      </x:c>
      <x:c r="M7" s="24" t="str">
        <x:v>MEDIUM</x:v>
      </x:c>
      <x:c r="N7" s="24" t="str">
        <x:v>Low spill, queueing, and latency make one-size down a controlled canary candidate; absence of pressure is not proof of SLA safety.</x:v>
      </x:c>
      <x:c r="O7" s="73" t="n">
        <x:v>0.78</x:v>
      </x:c>
      <x:c r="P7" s="22" t="str">
        <x:v>MEDIUM</x:v>
      </x:c>
      <x:c r="Q7" s="22" t="str">
        <x:v>{"coverage":1.0,"epoch_maturity":1.0,"sample":1.0,"signal":1.0,"stability":0.91}</x:v>
      </x:c>
      <x:c r="R7" s="22" t="str">
        <x:v>["EVID-F723F7AAAD312F89B8C5FAE1","EVID-23E489B0BB9365F307E0F939","EVID-E6B199EF294C7E05E9993FE1","EVID-C5CBADC22656C8916B474792","EVID-BB37D0360DC1CBABC19FEB46","EVID-16F5FA6CD518E56FEABD1BCA","EVID-F540ADDD1BD6DA5F09CE698F","EVID-65ADAC65D01DAEC470E7B3E4","EVID-941BE40F20A14CA11A130748","EVID-6C45A23DC840A92F3BFC102C","EVID-C0A8B86FC6694C973270EFA1"]</x:v>
      </x:c>
      <x:c r="S7" s="22" t="str">
        <x:v>{"EVID-16F5FA6CD518E56FEABD1BCA":{"comparator":"&lt;= downsize-safe","epoch_scope":"CURRENT","evidence_id":"EVID-16F5FA6CD518E56FEABD1BCA","interpretation":"Extreme tail execution latency guardrail.","metric":"p99_execution_ms_30","observation_window":"last 30 days within current epoch","source":"system.query.history","source_field":"execution_duration_ms","threshold":30000,"unit":"ms","value":10000},"EVID-23E489B0BB9365F307E0F939":{"comparator":"&gt;= upsize signal","epoch_scope":"CURRENT","evidence_id":"EVID-23E489B0BB9365F307E0F939","interpretation":"Frequency of queries spilling to local storage.","metric":"spill_query_pct_30","observation_window":"last 30 days within current epoch","source":"system.query.history","source_field":"spilled_local_bytes","threshold":2.0,"unit":"%","value":0.0},"EVID-65ADAC65D01DAEC470E7B3E4":{"comparator":"","epoch_scope":"CURRENT","evidence_id":"EVID-65ADAC65D01DAEC470E7B3E4","interpretation":"Observed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epoch.","metric":"forward_dbu_cost_365d","observation_window":"forward_365d","source":"derived","source_field":"epoch-runrate-v2.7","threshold":null,"unit":"USD","value":27000.0},"EVID-BB37D0360DC1CBABC19FEB46":{"comparator":"&lt;= downsize-safe","epoch_scope":"CURRENT","evidence_id":"EVID-BB37D0360DC1CBABC19FEB46","interpretation":"Tail execution latency guardrail.","metric":"p95_execution_ms_30","observation_window":"last 30 days within current epoch","source":"system.query.history","source_field":"execution_duration_ms","threshold":5000,"unit":"ms","value":2500},"EVID-C0A8B86FC6694C973270EFA1":{"comparator":"","epoch_scope":"CURRENT","evidence_id":"EVID-C0A8B86FC6694C973270EFA1","interpretation":"Calendar-day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model.","metric":"cost_history_days","observation_window":"current_epoch","source":"system.billing.usage","source_field":"usage_date","threshold":null,"unit":"days","value":259},"EVID-C5CBADC22656C8916B474792":{"comparator":"&lt;= downsize-safe","epoch_scope":"CURRENT","evidence_id":"EVID-C5CBADC22656C8916B474792","interpretation":"Concurrency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epoch","source":"system.query.history","source_field":"waiting_at_capacity_duration_ms","threshold":0.5,"unit":"%","value":0.0},"EVID-E6B199EF294C7E05E9993FE1":{"comparator":"&gt;= upsize signal","epoch_scope":"CURRENT","evidence_id":"EVID-E6B199EF294C7E05E9993FE1","interpretation":"Severity of spill at p95.","metric":"p95_spill_bytes_30","observation_window":"last 30 days within current epoch","source":"system.query.history","source_field":"spilled_local_bytes","threshold":1073741824,"unit":"bytes","value":0},"EVID-F540ADDD1BD6DA5F09CE698F":{"comparator":"","epoch_scope":"CURRENT","evidence_id":"EVID-F540ADDD1BD6DA5F09CE698F","interpretation":"I/O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epoch","source":"system.query.history","source_field":"read_io_cache_percent","threshold":null,"unit":"%","value":35.0},"EVID-F723F7AAAD312F89B8C5FAE1":{"comparator":"","epoch_scope":"CURRENT","evidence_id":"EVID-F723F7AAAD312F89B8C5FAE1","interpretation":"Current warehouse size.","metric":"warehouse_size","observation_window":"current epoch","source":"system.compute.warehouses","source_field":"warehouse_size","threshold":null,"unit":"value","value":"LARGE"}}</x:v>
      </x:c>
      <x:c r="T7" s="24" t="str">
        <x:v>spill_query_pct_30 &gt;= upsize signal 2.0; p95_spill_bytes_30 &gt;= upsize signal 1073741824; queued_query_pct_30 &lt;= downsize-safe 0.5; p95_execution_ms_30 &lt;= downsize-safe 5000; p99_execution_ms_30 &lt;= downsize-safe 30000</x:v>
      </x:c>
      <x:c r="U7" s="22" t="str">
        <x:v>[{"comparator":"&gt;= upsize signal","evidence_id":"EVID-23E489B0BB9365F307E0F939","metric":"spill_query_pct_30","threshold":2.0},{"comparator":"&gt;= upsize signal","evidence_id":"EVID-E6B199EF294C7E05E9993FE1","metric":"p95_spill_bytes_30","threshold":1073741824},{"comparator":"&lt;= downsize-safe","evidence_id":"EVID-C5CBADC22656C8916B474792","metric":"queued_query_pct_30","threshold":0.5},{"comparator":"&lt;= downsize-safe","evidence_id":"EVID-BB37D0360DC1CBABC19FEB46","metric":"p95_execution_ms_30","threshold":5000},{"comparator":"&lt;= downsize-safe","evidence_id":"EVID-16F5FA6CD518E56FEABD1BCA","metric":"p99_execution_ms_30","threshold":30000}]</x:v>
      </x:c>
      <x:c r="V7" s="22" t="str">
        <x:v>[{"condition":null,"dependency_type":"KNOB","ref_id":"warehouse_channel"},{"condition":null,"dependency_type":"KNOB","ref_id":"enable_photon"}]</x:v>
      </x:c>
      <x:c r="W7" s="22" t="str">
        <x:v>["max_clusters","min_clusters","auto_stop_minutes"]</x:v>
      </x:c>
      <x:c r="X7" s="22" t="str">
        <x:v>["A_B_PERFORMANCE_VALIDATION_REQUIRED"]</x:v>
      </x:c>
      <x:c r="Y7" s="64" t="b">
        <x:v>1</x:v>
      </x:c>
      <x:c r="Z7" s="28" t="n">
        <x:v>27000</x:v>
      </x:c>
      <x:c r="AA7" s="28" t="n">
        <x:v>11725.1</x:v>
      </x:c>
      <x:c r="AB7" s="28" t="n">
        <x:v>38725.1</x:v>
      </x:c>
      <x:c r="AC7" s="28" t="n">
        <x:v>6075</x:v>
      </x:c>
      <x:c r="AD7" s="28" t="n">
        <x:v>9450</x:v>
      </x:c>
      <x:c r="AE7" s="28" t="n">
        <x:v>12150</x:v>
      </x:c>
      <x:c r="AF7" s="28" t="n">
        <x:v>820.76</x:v>
      </x:c>
      <x:c r="AG7" s="28" t="n">
        <x:v>2579.52</x:v>
      </x:c>
      <x:c r="AH7" s="28" t="n">
        <x:v>3986.53</x:v>
      </x:c>
      <x:c r="AI7" s="28" t="n">
        <x:v>6895.76</x:v>
      </x:c>
      <x:c r="AJ7" s="28" t="n">
        <x:v>12029.52</x:v>
      </x:c>
      <x:c r="AK7" s="28" t="n">
        <x:v>16136.53</x:v>
      </x:c>
      <x:c r="AL7" s="28" t="n">
        <x:v>22588.57</x:v>
      </x:c>
      <x:c r="AM7" s="28" t="n">
        <x:v>26695.58</x:v>
      </x:c>
      <x:c r="AN7" s="28" t="n">
        <x:v>31829.34</x:v>
      </x:c>
      <x:c r="AO7" s="64" t="b">
        <x:v>0</x:v>
      </x:c>
      <x:c r="AP7" s="22" t="str">
        <x:v>[{"execution_state":"READY_FOR_CANARY","scenario_id":"SCN-669E0ED750DDE520F0F03317","scenario_name":"Plan A — Optimize current warehouse type","step":1}]</x:v>
      </x:c>
      <x:c r="AQ7" s="22" t="str">
        <x:v>NOT_APPLIED</x:v>
      </x:c>
      <x:c r="AR7" s="22"/>
      <x:c r="AS7" s="22"/>
      <x:c r="AT7" s="28"/>
      <x:c r="AU7" s="28"/>
      <x:c r="AV7" s="28"/>
      <x:c r="AW7" s="28"/>
      <x:c r="AX7" s="22"/>
      <x:c r="AY7" s="22" t="str">
        <x:v>[]</x:v>
      </x:c>
    </x:row>
    <x:row r="8" ht="54" customHeight="1">
      <x:c r="A8" s="22" t="str">
        <x:v>PKG-C1928BFAD6E14C166A0F518D</x:v>
      </x:c>
      <x:c r="B8" s="22" t="str">
        <x:v>CAND-AABB1CB6F62253EC264D2DB7</x:v>
      </x:c>
      <x:c r="C8" s="22" t="str">
        <x:v>WH-MAX-CLUSTER-REDUCE-001</x:v>
      </x:c>
      <x:c r="D8" s="22" t="str">
        <x:v>1234567890123456</x:v>
      </x:c>
      <x:c r="E8" s="22" t="str">
        <x:v>wh-synth-001</x:v>
      </x:c>
      <x:c r="F8" s="24" t="str">
        <x:v>BI - Sales</x:v>
      </x:c>
      <x:c r="G8" s="24" t="str">
        <x:v>sales-bi@databricks.example</x:v>
      </x:c>
      <x:c r="H8" s="22" t="str">
        <x:v>EPOCH-90F9FB8E6BAEFDC508183AC2</x:v>
      </x:c>
      <x:c r="I8" s="22" t="str">
        <x:v>max_clusters</x:v>
      </x:c>
      <x:c r="J8" s="22" t="str">
        <x:v>ACTIONABLE</x:v>
      </x:c>
      <x:c r="K8" s="24" t="str">
        <x:v>COST_GUARDRAIL</x:v>
      </x:c>
      <x:c r="L8" s="24" t="n">
        <x:v>4</x:v>
      </x:c>
      <x:c r="M8" s="24" t="n">
        <x:v>3</x:v>
      </x:c>
      <x:c r="N8" s="24" t="str">
        <x:v>The configured ceiling has not been used and queue pressure is low; tighten the guardrail without claiming direct savings.</x:v>
      </x:c>
      <x:c r="O8" s="73" t="n">
        <x:v>0.93</x:v>
      </x:c>
      <x:c r="P8" s="22" t="str">
        <x:v>HIGH</x:v>
      </x:c>
      <x:c r="Q8" s="22" t="str">
        <x:v>{"coverage":1.0,"epoch_maturity":1.0,"sample":1.0,"signal":1.0,"stability":0.91}</x:v>
      </x:c>
      <x:c r="R8" s="22" t="str">
        <x:v>["EVID-E4035FA901B2DB20C8DF252F","EVID-2E6BB473F04C421D6A69CBD4","EVID-F4202DF35AACA347637BC1D6","EVID-C88E29553488850C48B2FB4F","EVID-BDB2093458A6FD63FC8C6548","EVID-65ADAC65D01DAEC470E7B3E4","EVID-941BE40F20A14CA11A130748","EVID-6C45A23DC840A92F3BFC102C","EVID-C0A8B86FC6694C973270EFA1"]</x:v>
      </x:c>
      <x:c r="S8" s="22" t="str">
        <x:v>{"EVID-2E6BB473F04C421D6A69CBD4":{"comparator":"","epoch_scope":"CURRENT","evidence_id":"EVID-2E6BB473F04C421D6A69CBD4","interpretation":"Highest observed scale level.","metric":"max_observed_clusters","observation_window":"current epoch","source":"system.compute.warehouse_events","source_field":"cluster_count","threshold":null,"unit":"clusters","value":2},"EVID-65ADAC65D01DAEC470E7B3E4":{"comparator":"","epoch_scope":"CURRENT","evidence_id":"EVID-65ADAC65D01DAEC470E7B3E4","interpretation":"Observed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epoch.","metric":"forward_dbu_cost_365d","observation_window":"forward_365d","source":"derived","source_field":"epoch-runrate-v2.7","threshold":null,"unit":"USD","value":27000.0},"EVID-BDB2093458A6FD63FC8C6548":{"comparator":"&gt;= increase signal","epoch_scope":"CURRENT","evidence_id":"EVID-BDB2093458A6FD63FC8C6548","interpretation":"Severity of capacity queueing.","metric":"p95_wait_capacity_ms_30","observation_window":"last 30 days within current epoch","source":"system.query.history","source_field":"waiting_at_capacity_duration_ms","threshold":30000,"unit":"ms","value":0},"EVID-C0A8B86FC6694C973270EFA1":{"comparator":"","epoch_scope":"CURRENT","evidence_id":"EVID-C0A8B86FC6694C973270EFA1","interpretation":"Calendar-day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model.","metric":"cost_history_days","observation_window":"current_epoch","source":"system.billing.usage","source_field":"usage_date","threshold":null,"unit":"days","value":259},"EVID-C88E29553488850C48B2FB4F":{"comparator":"&gt;= increase signal","epoch_scope":"CURRENT","evidence_id":"EVID-C88E29553488850C48B2FB4F","interpretation":"Frequency of capacity queueing.","metric":"queued_query_pct_30","observation_window":"last 30 days within current epoch","source":"system.query.history","source_field":"waiting_at_capacity_duration_ms","threshold":5.0,"unit":"%","value":0.0},"EVID-E4035FA901B2DB20C8DF252F":{"comparator":"","epoch_scope":"CURRENT","evidence_id":"EVID-E4035FA901B2DB20C8DF252F","interpretation":"Configured concurrency ceiling.","metric":"max_clusters","observation_window":"current epoch","source":"system.compute.warehouses","source_field":"max_clusters","threshold":null,"unit":"value","value":4},"EVID-F4202DF35AACA347637BC1D6":{"comparator":"&lt;= reduce-safe","epoch_scope":"CURRENT","evidence_id":"EVID-F4202DF35AACA347637BC1D6","interpretation":"Fraction of running time at configured maximum.","metric":"time_at_max_pct","observation_window":"current epoch","source":"system.compute.warehouse_events","source_field":"cluster_count","threshold":1.0,"unit":"%","value":0.0}}</x:v>
      </x:c>
      <x:c r="T8" s="24" t="str">
        <x:v>time_at_max_pct &lt;= reduce-safe 1.0; queued_query_pct_30 &gt;= increase signal 5.0; p95_wait_capacity_ms_30 &gt;= increase signal 30000</x:v>
      </x:c>
      <x:c r="U8" s="22" t="str">
        <x:v>[{"comparator":"&lt;= reduce-safe","evidence_id":"EVID-F4202DF35AACA347637BC1D6","metric":"time_at_max_pct","threshold":1.0},{"comparator":"&gt;= increase signal","evidence_id":"EVID-C88E29553488850C48B2FB4F","metric":"queued_query_pct_30","threshold":5.0},{"comparator":"&gt;= increase signal","evidence_id":"EVID-BDB2093458A6FD63FC8C6548","metric":"p95_wait_capacity_ms_30","threshold":30000}]</x:v>
      </x:c>
      <x:c r="V8" s="22" t="str">
        <x:v>[{"condition":null,"dependency_type":"KNOB","ref_id":"warehouse_size"}]</x:v>
      </x:c>
      <x:c r="W8" s="22" t="str">
        <x:v>["min_clusters"]</x:v>
      </x:c>
      <x:c r="X8" s="22" t="str">
        <x:v>[]</x:v>
      </x:c>
      <x:c r="Y8" s="64" t="b">
        <x:v>1</x:v>
      </x:c>
      <x:c r="Z8" s="28" t="n">
        <x:v>27000</x:v>
      </x:c>
      <x:c r="AA8" s="28" t="n">
        <x:v>11725.1</x:v>
      </x:c>
      <x:c r="AB8" s="28" t="n">
        <x:v>38725.1</x:v>
      </x:c>
      <x:c r="AC8" s="28" t="n">
        <x:v>0</x:v>
      </x:c>
      <x:c r="AD8" s="28" t="n">
        <x:v>0</x:v>
      </x:c>
      <x:c r="AE8" s="28" t="n">
        <x:v>0</x:v>
      </x:c>
      <x:c r="AF8" s="28" t="n">
        <x:v>0</x:v>
      </x:c>
      <x:c r="AG8" s="28" t="n">
        <x:v>0</x:v>
      </x:c>
      <x:c r="AH8" s="28" t="n">
        <x:v>0</x:v>
      </x:c>
      <x:c r="AI8" s="28" t="n">
        <x:v>0</x:v>
      </x:c>
      <x:c r="AJ8" s="28" t="n">
        <x:v>0</x:v>
      </x:c>
      <x:c r="AK8" s="28" t="n">
        <x:v>0</x:v>
      </x:c>
      <x:c r="AL8" s="28" t="n">
        <x:v>38725.1</x:v>
      </x:c>
      <x:c r="AM8" s="28" t="n">
        <x:v>38725.1</x:v>
      </x:c>
      <x:c r="AN8" s="28" t="n">
        <x:v>38725.1</x:v>
      </x:c>
      <x:c r="AO8" s="64" t="b">
        <x:v>0</x:v>
      </x:c>
      <x:c r="AP8" s="22" t="str">
        <x:v>[{"execution_state":"PENDING_REEVALUATION","scenario_id":"SCN-669E0ED750DDE520F0F03317","scenario_name":"Plan A — Optimize current warehouse type","step":2}]</x:v>
      </x:c>
      <x:c r="AQ8" s="22" t="str">
        <x:v>NOT_APPLIED</x:v>
      </x:c>
      <x:c r="AR8" s="22"/>
      <x:c r="AS8" s="22"/>
      <x:c r="AT8" s="28"/>
      <x:c r="AU8" s="28"/>
      <x:c r="AV8" s="28"/>
      <x:c r="AW8" s="28"/>
      <x:c r="AX8" s="22"/>
      <x:c r="AY8" s="22" t="str">
        <x:v>[]</x:v>
      </x:c>
    </x:row>
    <x:row r="9" ht="54" customHeight="1">
      <x:c r="A9" s="22" t="str">
        <x:v>PKG-C1928BFAD6E14C166A0F518D</x:v>
      </x:c>
      <x:c r="B9" s="22" t="str">
        <x:v>CAND-938E7478C6749F842CF92AB9</x:v>
      </x:c>
      <x:c r="C9" s="22" t="str">
        <x:v>WH-MIN-CLUSTER-REDUCE-001</x:v>
      </x:c>
      <x:c r="D9" s="22" t="str">
        <x:v>1234567890123456</x:v>
      </x:c>
      <x:c r="E9" s="22" t="str">
        <x:v>wh-synth-001</x:v>
      </x:c>
      <x:c r="F9" s="24" t="str">
        <x:v>BI - Sales</x:v>
      </x:c>
      <x:c r="G9" s="24" t="str">
        <x:v>sales-bi@databricks.example</x:v>
      </x:c>
      <x:c r="H9" s="22" t="str">
        <x:v>EPOCH-90F9FB8E6BAEFDC508183AC2</x:v>
      </x:c>
      <x:c r="I9" s="22" t="str">
        <x:v>min_clusters</x:v>
      </x:c>
      <x:c r="J9" s="22" t="str">
        <x:v>ACTIONABLE</x:v>
      </x:c>
      <x:c r="K9" s="24" t="str">
        <x:v>COST</x:v>
      </x:c>
      <x:c r="L9" s="24" t="n">
        <x:v>2</x:v>
      </x:c>
      <x:c r="M9" s="24" t="n">
        <x:v>1</x:v>
      </x:c>
      <x:c r="N9" s="24" t="str">
        <x:v>Warehouse spends substantial time at minimum capacity without queue/scale pressure.</x:v>
      </x:c>
      <x:c r="O9" s="73" t="n">
        <x:v>0.93</x:v>
      </x:c>
      <x:c r="P9" s="22" t="str">
        <x:v>HIGH</x:v>
      </x:c>
      <x:c r="Q9" s="22" t="str">
        <x:v>{"coverage":1.0,"epoch_maturity":1.0,"sample":1.0,"signal":1.0,"stability":0.91}</x:v>
      </x:c>
      <x:c r="R9" s="22" t="str">
        <x:v>["EVID-62AE50F7E0D049E87541CCAF","EVID-49C6E0F0E6281B72EB493BF1","EVID-3AF97BAA23C5716C9B60F777","EVID-76E07C134670EAC86E5B9B45","EVID-EDCBC6971D3BA91544816BB4","EVID-65ADAC65D01DAEC470E7B3E4","EVID-941BE40F20A14CA11A130748","EVID-6C45A23DC840A92F3BFC102C","EVID-C0A8B86FC6694C973270EFA1"]</x:v>
      </x:c>
      <x:c r="S9" s="22" t="str">
        <x:v>{"EVID-3AF97BAA23C5716C9B60F777":{"comparator":"&lt;= safe","epoch_scope":"CURRENT","evidence_id":"EVID-3AF97BAA23C5716C9B60F777","interpretation":"Queue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epoch","source":"system.query.history","source_field":"waiting_at_capacity_duration_ms","threshold":0.5,"unit":"%","value":0.0},"EVID-49C6E0F0E6281B72EB493BF1":{"comparator":"&gt;= reduction signal","epoch_scope":"CURRENT","evidence_id":"EVID-49C6E0F0E6281B72EB493BF1","interpretation":"How often the warehouse sits at its minimum.","metric":"time_at_min_pct","observation_window":"current epoch","source":"system.compute.warehouse_events","source_field":"cluster_count","threshold":25.0,"unit":"%","value":80.0},"EVID-62AE50F7E0D049E87541CCAF":{"comparator":"","epoch_scope":"CURRENT","evidence_id":"EVID-62AE50F7E0D049E87541CCAF","interpretation":"Configured minimum scale.","metric":"min_clusters","observation_window":"current epoch","source":"system.compute.warehouses","source_field":"min_clusters","threshold":null,"unit":"value","value":2},"EVID-65ADAC65D01DAEC470E7B3E4":{"comparator":"","epoch_scope":"CURRENT","evidence_id":"EVID-65ADAC65D01DAEC470E7B3E4","interpretation":"Observed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unavailable.","metric":"forward_aws_cost_365d","observation_window":"forward_365d","source":"derived","source_field":"aws_current_epoch_cost_model","threshold":null,"unit":"USD","value":11725.1},"EVID-76E07C134670EAC86E5B9B45":{"comparator":"&lt;= safe","epoch_scope":"CURRENT","evidence_id":"EVID-76E07C134670EAC86E5B9B45","interpretation":"Queue latency guardrail.","metric":"p95_wait_capacity_ms_30","observation_window":"last 30 days within current epoch","source":"system.query.history","source_field":"waiting_at_capacity_duration_ms","threshold":5000,"unit":"ms","value":0},"EVID-941BE40F20A14CA11A130748":{"comparator":"","epoch_scope":"CURRENT","evidence_id":"EVID-941BE40F20A14CA11A130748","interpretation":"No-change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model.","metric":"cost_history_days","observation_window":"current_epoch","source":"system.billing.usage","source_field":"usage_date","threshold":null,"unit":"days","value":259},"EVID-EDCBC6971D3BA91544816BB4":{"comparator":"&gt;= blocker","epoch_scope":"CURRENT","evidence_id":"EVID-EDCBC6971D3BA91544816BB4","interpretation":"Sustained scale pressure blocks minimum reduction.","metric":"time_at_max_pct","observation_window":"current epoch","source":"system.compute.warehouse_events","source_field":"cluster_count","threshold":20.0,"unit":"%","value":0.0}}</x:v>
      </x:c>
      <x:c r="T9" s="24" t="str">
        <x:v>time_at_min_pct &gt;= reduction signal 25.0; queued_query_pct_30 &lt;= safe 0.5; p95_wait_capacity_ms_30 &lt;= safe 5000; time_at_max_pct &gt;= blocker 20.0</x:v>
      </x:c>
      <x:c r="U9" s="22" t="str">
        <x:v>[{"comparator":"&gt;= reduction signal","evidence_id":"EVID-49C6E0F0E6281B72EB493BF1","metric":"time_at_min_pct","threshold":25.0},{"comparator":"&lt;= safe","evidence_id":"EVID-3AF97BAA23C5716C9B60F777","metric":"queued_query_pct_30","threshold":0.5},{"comparator":"&lt;= safe","evidence_id":"EVID-76E07C134670EAC86E5B9B45","metric":"p95_wait_capacity_ms_30","threshold":5000},{"comparator":"&gt;= blocker","evidence_id":"EVID-EDCBC6971D3BA91544816BB4","metric":"time_at_max_pct","threshold":20.0}]</x:v>
      </x:c>
      <x:c r="V9" s="22" t="str">
        <x:v>[{"condition":null,"dependency_type":"KNOB","ref_id":"warehouse_size"},{"condition":null,"dependency_type":"KNOB","ref_id":"max_clusters"}]</x:v>
      </x:c>
      <x:c r="W9" s="22" t="str">
        <x:v>["auto_stop_minutes"]</x:v>
      </x:c>
      <x:c r="X9" s="22" t="str">
        <x:v>[]</x:v>
      </x:c>
      <x:c r="Y9" s="64" t="b">
        <x:v>1</x:v>
      </x:c>
      <x:c r="Z9" s="28" t="n">
        <x:v>27000</x:v>
      </x:c>
      <x:c r="AA9" s="28" t="n">
        <x:v>11725.1</x:v>
      </x:c>
      <x:c r="AB9" s="28" t="n">
        <x:v>38725.1</x:v>
      </x:c>
      <x:c r="AC9" s="28" t="n">
        <x:v>5400</x:v>
      </x:c>
      <x:c r="AD9" s="28" t="n">
        <x:v>8100</x:v>
      </x:c>
      <x:c r="AE9" s="28" t="n">
        <x:v>10800</x:v>
      </x:c>
      <x:c r="AF9" s="28" t="n">
        <x:v>2345.02</x:v>
      </x:c>
      <x:c r="AG9" s="28" t="n">
        <x:v>3517.53</x:v>
      </x:c>
      <x:c r="AH9" s="28" t="n">
        <x:v>4690.04</x:v>
      </x:c>
      <x:c r="AI9" s="28" t="n">
        <x:v>7745.02</x:v>
      </x:c>
      <x:c r="AJ9" s="28" t="n">
        <x:v>11617.53</x:v>
      </x:c>
      <x:c r="AK9" s="28" t="n">
        <x:v>15490.04</x:v>
      </x:c>
      <x:c r="AL9" s="28" t="n">
        <x:v>23235.06</x:v>
      </x:c>
      <x:c r="AM9" s="28" t="n">
        <x:v>27107.57</x:v>
      </x:c>
      <x:c r="AN9" s="28" t="n">
        <x:v>30980.08</x:v>
      </x:c>
      <x:c r="AO9" s="64" t="b">
        <x:v>0</x:v>
      </x:c>
      <x:c r="AP9" s="22" t="str">
        <x:v>[{"execution_state":"PENDING_REEVALUATION","scenario_id":"SCN-669E0ED750DDE520F0F03317","scenario_name":"Plan A — Optimize current warehouse type","step":3}]</x:v>
      </x:c>
      <x:c r="AQ9" s="22" t="str">
        <x:v>NOT_APPLIED</x:v>
      </x:c>
      <x:c r="AR9" s="22"/>
      <x:c r="AS9" s="22"/>
      <x:c r="AT9" s="28"/>
      <x:c r="AU9" s="28"/>
      <x:c r="AV9" s="28"/>
      <x:c r="AW9" s="28"/>
      <x:c r="AX9" s="22"/>
      <x:c r="AY9" s="22" t="str">
        <x:v>[]</x:v>
      </x:c>
    </x:row>
    <x:row r="10" ht="54" customHeight="1">
      <x:c r="A10" s="22" t="str">
        <x:v>PKG-C1928BFAD6E14C166A0F518D</x:v>
      </x:c>
      <x:c r="B10" s="22" t="str">
        <x:v>CAND-297B29996B10927E411B0AD2</x:v>
      </x:c>
      <x:c r="C10" s="22" t="str">
        <x:v>WH-AUTOSTOP-REDUCE-001</x:v>
      </x:c>
      <x:c r="D10" s="22" t="str">
        <x:v>1234567890123456</x:v>
      </x:c>
      <x:c r="E10" s="22" t="str">
        <x:v>wh-synth-001</x:v>
      </x:c>
      <x:c r="F10" s="24" t="str">
        <x:v>BI - Sales</x:v>
      </x:c>
      <x:c r="G10" s="24" t="str">
        <x:v>sales-bi@databricks.example</x:v>
      </x:c>
      <x:c r="H10" s="22" t="str">
        <x:v>EPOCH-90F9FB8E6BAEFDC508183AC2</x:v>
      </x:c>
      <x:c r="I10" s="22" t="str">
        <x:v>auto_stop_minutes</x:v>
      </x:c>
      <x:c r="J10" s="22" t="str">
        <x:v>ACTIONABLE</x:v>
      </x:c>
      <x:c r="K10" s="24" t="str">
        <x:v>COST</x:v>
      </x:c>
      <x:c r="L10" s="24" t="n">
        <x:v>120</x:v>
      </x:c>
      <x:c r="M10" s="24" t="n">
        <x:v>30</x:v>
      </x:c>
      <x:c r="N10" s="24" t="str">
        <x:v>Idle-gap evidence supports a lower auto-stop target.</x:v>
      </x:c>
      <x:c r="O10" s="73" t="n">
        <x:v>0.93</x:v>
      </x:c>
      <x:c r="P10" s="22" t="str">
        <x:v>HIGH</x:v>
      </x:c>
      <x:c r="Q10" s="22" t="str">
        <x:v>{"coverage":1.0,"epoch_maturity":1.0,"sample":1.0,"signal":1.0,"stability":0.91}</x:v>
      </x:c>
      <x:c r="R10" s="22" t="str">
        <x:v>["EVID-79F38E666C1E1C15A33F9EE6","EVID-C3FDAD520F6431EB88ADDEA1","EVID-C4A0162101F9E05D1717205A","EVID-5EF6CE79C232BA0A3D3E9DF5","EVID-0810899A5124429CCFFBF9B4","EVID-A40C5D78A97FA849D959012B","EVID-9A1BB1822623D65B18DD5414","EVID-65ADAC65D01DAEC470E7B3E4","EVID-941BE40F20A14CA11A130748","EVID-6C45A23DC840A92F3BFC102C","EVID-C0A8B86FC6694C973270EFA1"]</x:v>
      </x:c>
      <x:c r="S10" s="22" t="str">
        <x:v>{"EVID-0810899A5124429CCFFBF9B4":{"comparator":"&gt;= cold-start blocker","epoch_scope":"CURRENT","evidence_id":"EVID-0810899A5124429CCFFBF9B4","interpretation":"Cold-start sensitivity guardrail.","metric":"p95_wait_compute_ms_30","observation_window":"last 30 days within current epoch","source":"system.query.history","source_field":"waiting_for_compute_duration_ms","threshold":60000,"unit":"ms","value":3500},"EVID-5EF6CE79C232BA0A3D3E9DF5":{"comparator":"&gt;= evidence minimum","epoch_scope":"CURRENT","evidence_id":"EVID-5EF6CE79C232BA0A3D3E9DF5","interpretation":"Observed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40000.0},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unavailable.","metric":"forward_aws_cost_365d","observation_window":"forward_365d","source":"derived","source_field":"aws_current_epoch_cost_model","threshold":null,"unit":"USD","value":11725.1},"EVID-79F38E666C1E1C15A33F9EE6":{"comparator":"&gt; target","epoch_scope":"CURRENT","evidence_id":"EVID-79F38E666C1E1C15A33F9EE6","interpretation":"Current idle termination setting versus deterministic policy target.","metric":"auto_stop_minutes","observation_window":"current epoch","source":"system.compute.warehouses","source_field":"auto_stop_minutes","threshold":30,"unit":"minutes","value":120},"EVID-941BE40F20A14CA11A130748":{"comparator":"","epoch_scope":"CURRENT","evidence_id":"EVID-941BE40F20A14CA11A130748","interpretation":"No-change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-9A1BB1822623D65B18DD5414":{"comparator":"","epoch_scope":"CURRENT","evidence_id":"EVID-9A1BB1822623D65B18DD5414","interpretation":"Estimated additional off-time at the candidate target.","metric":"estimated_additional_off_minutes","observation_window":"current epoch","source":"system.query.history","source_field":"inter-query gap","threshold":null,"unit":"minutes","value":7920.0},"EVID-A40C5D78A97FA849D959012B":{"comparator":"&gt;= cold-start blocker","epoch_scope":"CURRENT","evidence_id":"EVID-A40C5D78A97FA849D959012B","interpretation":"Restart frequency guardrail.","metric":"starts_per_active_day_30","observation_window":"last 30 days within current epoch","source":"system.compute.warehouse_events","source_field":"event_type=STARTING","threshold":0.5,"unit":"starts/day","value":0.2667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,"EVID-C3FDAD520F6431EB88ADDEA1":{"comparator":"","epoch_scope":"CURRENT","evidence_id":"EVID-C3FDAD520F6431EB88ADDEA1","interpretation":"Activity density selects the auto-stop target.","metric":"queries_per_active_day_30","observation_window":"last 30 days within current epoch","source":"system.query.history","source_field":"start_time","threshold":null,"unit":"queries/day","value":400.0},"EVID-C4A0162101F9E05D1717205A":{"comparator":"&gt;= evidence minimum","epoch_scope":"CURRENT","evidence_id":"EVID-C4A0162101F9E05D1717205A","interpretation":"Non-overlapping inter-query gap sample supporting the auto-stop counterfactual.","metric":"idle_gap_count","observation_window":"current epoch","source":"system.query.history","source_field":"start_time/end_time","threshold":30,"unit":"gaps","value":480}}</x:v>
      </x:c>
      <x:c r="T10" s="24" t="str">
        <x:v>auto_stop_minutes &gt; target 30; idle_gap_count &gt;= evidence minimum 30; cluster_minutes &gt;= evidence minimum 1.0; p95_wait_compute_ms_30 &gt;= cold-start blocker 60000; starts_per_active_day_30 &gt;= cold-start blocker 0.5</x:v>
      </x:c>
      <x:c r="U10" s="22" t="str">
        <x:v>[{"comparator":"&gt; target","evidence_id":"EVID-79F38E666C1E1C15A33F9EE6","metric":"auto_stop_minutes","threshold":30},{"comparator":"&gt;= evidence minimum","evidence_id":"EVID-C4A0162101F9E05D1717205A","metric":"idle_gap_count","threshold":30},{"comparator":"&gt;= evidence minimum","evidence_id":"EVID-5EF6CE79C232BA0A3D3E9DF5","metric":"cluster_minutes","threshold":1.0},{"comparator":"&gt;= cold-start blocker","evidence_id":"EVID-0810899A5124429CCFFBF9B4","metric":"p95_wait_compute_ms_30","threshold":60000},{"comparator":"&gt;= cold-start blocker","evidence_id":"EVID-A40C5D78A97FA849D959012B","metric":"starts_per_active_day_30","threshold":0.5}]</x:v>
      </x:c>
      <x:c r="V10" s="22" t="str">
        <x:v>[{"condition":null,"dependency_type":"KNOB","ref_id":"min_clusters"}]</x:v>
      </x:c>
      <x:c r="W10" s="22" t="str">
        <x:v>[]</x:v>
      </x:c>
      <x:c r="X10" s="22" t="str">
        <x:v>[]</x:v>
      </x:c>
      <x:c r="Y10" s="64" t="b">
        <x:v>1</x:v>
      </x:c>
      <x:c r="Z10" s="28" t="n">
        <x:v>27000</x:v>
      </x:c>
      <x:c r="AA10" s="28" t="n">
        <x:v>11725.1</x:v>
      </x:c>
      <x:c r="AB10" s="28" t="n">
        <x:v>38725.1</x:v>
      </x:c>
      <x:c r="AC10" s="28" t="n">
        <x:v>5346</x:v>
      </x:c>
      <x:c r="AD10" s="28" t="n">
        <x:v>8019</x:v>
      </x:c>
      <x:c r="AE10" s="28" t="n">
        <x:v>10692</x:v>
      </x:c>
      <x:c r="AF10" s="28" t="n">
        <x:v>2321.57</x:v>
      </x:c>
      <x:c r="AG10" s="28" t="n">
        <x:v>3482.35</x:v>
      </x:c>
      <x:c r="AH10" s="28" t="n">
        <x:v>4643.14</x:v>
      </x:c>
      <x:c r="AI10" s="28" t="n">
        <x:v>7667.57</x:v>
      </x:c>
      <x:c r="AJ10" s="28" t="n">
        <x:v>11501.35</x:v>
      </x:c>
      <x:c r="AK10" s="28" t="n">
        <x:v>15335.14</x:v>
      </x:c>
      <x:c r="AL10" s="28" t="n">
        <x:v>23389.96</x:v>
      </x:c>
      <x:c r="AM10" s="28" t="n">
        <x:v>27223.75</x:v>
      </x:c>
      <x:c r="AN10" s="28" t="n">
        <x:v>31057.53</x:v>
      </x:c>
      <x:c r="AO10" s="64" t="b">
        <x:v>0</x:v>
      </x:c>
      <x:c r="AP10" s="22" t="str">
        <x:v>[{"execution_state":"PENDING_REEVALUATION","scenario_id":"SCN-669E0ED750DDE520F0F03317","scenario_name":"Plan A — Optimize current warehouse type","step":4}]</x:v>
      </x:c>
      <x:c r="AQ10" s="22" t="str">
        <x:v>NOT_APPLIED</x:v>
      </x:c>
      <x:c r="AR10" s="22"/>
      <x:c r="AS10" s="22"/>
      <x:c r="AT10" s="28"/>
      <x:c r="AU10" s="28"/>
      <x:c r="AV10" s="28"/>
      <x:c r="AW10" s="28"/>
      <x:c r="AX10" s="22"/>
      <x:c r="AY10" s="22" t="str">
        <x:v>[]</x:v>
      </x:c>
    </x:row>
    <x:row r="11" ht="54" customHeight="1">
      <x:c r="A11" s="22" t="str">
        <x:v>PKG-C1928BFAD6E14C166A0F518D</x:v>
      </x:c>
      <x:c r="B11" s="22" t="str">
        <x:v>CAND-B8B0FF2C9E23C9957E283E88</x:v>
      </x:c>
      <x:c r="C11" s="22" t="str">
        <x:v>WH-SERVERLESS-MIGRATE-001</x:v>
      </x:c>
      <x:c r="D11" s="22" t="str">
        <x:v>1234567890123456</x:v>
      </x:c>
      <x:c r="E11" s="22" t="str">
        <x:v>wh-synth-001</x:v>
      </x:c>
      <x:c r="F11" s="24" t="str">
        <x:v>BI - Sales</x:v>
      </x:c>
      <x:c r="G11" s="24" t="str">
        <x:v>sales-bi@databricks.example</x:v>
      </x:c>
      <x:c r="H11" s="22" t="str">
        <x:v>EPOCH-90F9FB8E6BAEFDC508183AC2</x:v>
      </x:c>
      <x:c r="I11" s="22" t="str">
        <x:v>warehouse_type</x:v>
      </x:c>
      <x:c r="J11" s="22" t="str">
        <x:v>TEST_REQUIRED</x:v>
      </x:c>
      <x:c r="K11" s="24" t="str">
        <x:v>MIGRATION, COST_AND_PERFORMANCE, OPERATIONS</x:v>
      </x:c>
      <x:c r="L11" s="24" t="str">
        <x:v>PRO</x:v>
      </x:c>
      <x:c r="M11" s="24" t="str">
        <x:v>SERVERLESS</x:v>
      </x:c>
      <x:c r="N11" s="24" t="str">
        <x:v>Serverless is evaluated as a separate migration experiment with a pre-canary DBU/AWS counterfactual and deterministic compatibility gate.</x:v>
      </x:c>
      <x:c r="O11" s="73" t="n">
        <x:v>0.78</x:v>
      </x:c>
      <x:c r="P11" s="22" t="str">
        <x:v>MEDIUM</x:v>
      </x:c>
      <x:c r="Q11" s="22" t="str">
        <x:v>{"coverage":1.0,"epoch_maturity":1.0,"sample":1.0,"signal":1.0,"stability":0.91}</x:v>
      </x:c>
      <x:c r="R11" s="22" t="str">
        <x:v>["EVID-B5A5ED946E296A114CF5CA8C","EVID-4CCF9D28B036DF83F47880A4","EVID-EEAE9EE4EB0184B8E3194230","EVID-E086423EEDD4EA5B78E06BA8","EVID-B6469511F156698AC3D5CB8E","EVID-5A5A7219000299698F7DA5A6","EVID-0B72CF1D7080CDBCD1D3D411","EVID-C93E5A448C9691384CABBC3C","EVID-963E52396C287E958F8EF08F","EVID-24CFF7F1D6658ECE99B64913","EVID-3C52983DF27F9CE0018B09BE","EVID-45F9AD38C111236D924BB74F","EVID-F495F5CD809BE5CB38C224D3","EVID-65ADAC65D01DAEC470E7B3E4","EVID-941BE40F20A14CA11A130748","EVID-6C45A23DC840A92F3BFC102C","EVID-C0A8B86FC6694C973270EFA1"]</x:v>
      </x:c>
      <x:c r="S11" s="22" t="str">
        <x:v>{"EVID-0B72CF1D7080CDBCD1D3D411":{"comparator":"","epoch_scope":"CURRENT","evidence_id":"EVID-0B72CF1D7080CDBCD1D3D411","interpretation":"Genie workload mix context.","metric":"genie_queries_30","observation_window":"last 30 days within current epoch","source":"system.query.history","source_field":"query_source.genie_space_id","threshold":null,"unit":"queries","value":0},"EVID-24CFF7F1D6658ECE99B64913":{"comparator":"","epoch_scope":"CURRENT","evidence_id":"EVID-24CFF7F1D6658ECE99B64913","interpretation":"Power BI client workload mix context.","metric":"power_bi_queries_30","observation_window":"last 30 days within current epoch","source":"system.query.history","source_field":"client_application","threshold":null,"unit":"queries","value":3000},"EVID-3C52983DF27F9CE0018B09BE":{"comparator":"","epoch_scope":"CURRENT","evidence_id":"EVID-3C52983DF27F9CE0018B09BE","interpretation":"Tableau client workload mix context.","metric":"tableau_queries_30","observation_window":"last 30 days within current epoch","source":"system.query.history","source_field":"client_application","threshold":null,"unit":"queries","value":0},"EVID-45F9AD38C111236D924BB74F":{"comparator":"","epoch_scope":"CURRENT","evidence_id":"EVID-45F9AD38C111236D924BB74F","interpretation":"Coverage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epoch","source":"system.query.history","source_field":"statement_text","threshold":null,"unit":"%","value":100.0},"EVID-4CCF9D28B036DF83F47880A4":{"comparator":"","epoch_scope":"CURRENT","evidence_id":"EVID-4CCF9D28B036DF83F47880A4","interpretation":"Observed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days","source":"system.billing.usage","source_field":"product_features.is_serverless","threshold":null,"unit":"%","value":0.0},"EVID-5A5A7219000299698F7DA5A6":{"comparator":"","epoch_scope":"CURRENT","evidence_id":"EVID-5A5A7219000299698F7DA5A6","interpretation":"Notebook workload mix context.","metric":"notebook_queries_30","observation_window":"last 30 days within current epoch","source":"system.query.history","source_field":"query_source.notebook_id","threshold":null,"unit":"queries","value":0},"EVID-65ADAC65D01DAEC470E7B3E4":{"comparator":"","epoch_scope":"CURRENT","evidence_id":"EVID-65ADAC65D01DAEC470E7B3E4","interpretation":"Observed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price","threshold":null,"unit":"USD","value":23760.0},"EVID-6C45A23DC840A92F3BFC102C":{"comparator":"","epoch_scope":"CURRENT","evidence_id":"EVID-6C45A23DC840A92F3BFC102C","interpretation":"Forward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-941BE40F20A14CA11A130748":{"comparator":"","epoch_scope":"CURRENT","evidence_id":"EVID-941BE40F20A14CA11A130748","interpretation":"No-change forward DBU cost forecast anchored to the current configuration epoch.","metric":"forward_dbu_cost_365d","observation_window":"forward_365d","source":"derived","source_field":"epoch-runrate-v2.7","threshold":null,"unit":"USD","value":27000.0},"EVID-963E52396C287E958F8EF08F":{"comparator":"","epoch_scope":"CURRENT","evidence_id":"EVID-963E52396C287E958F8EF08F","interpretation":"Databricks SQL editor/query workload mix context.","metric":"sql_editor_queries_30","observation_window":"last 30 days within current epoch","source":"system.query.history","source_field":"query_source.sql_query_id","threshold":null,"unit":"queries","value":960},"EVID-B5A5ED946E296A114CF5CA8C":{"comparator":"","epoch_scope":"CURRENT","evidence_id":"EVID-B5A5ED946E296A114CF5CA8C","interpretation":"Current warehouse type.","metric":"warehouse_type","observation_window":"current epoch","source":"system.compute.warehouses","source_field":"warehouse_type","threshold":null,"unit":"value","value":"PRO"},"EVID-B6469511F156698AC3D5CB8E":{"comparator":"","epoch_scope":"CURRENT","evidence_id":"EVID-B6469511F156698AC3D5CB8E","interpretation":"Job workload mix context.","metric":"job_queries_30","observation_window":"last 30 days within current epoch","source":"system.query.history","source_field":"query_source.job_info.job_id","threshold":null,"unit":"queries","value":0},"EVID-C0A8B86FC6694C973270EFA1":{"comparator":"","epoch_scope":"CURRENT","evidence_id":"EVID-C0A8B86FC6694C973270EFA1","interpretation":"Calendar-day coverage available to the forward cost model.","metric":"cost_history_days","observation_window":"current_epoch","source":"system.billing.usage","source_field":"usage_date","threshold":null,"unit":"days","value":259},"EVID-C93E5A448C9691384CABBC3C":{"comparator":"","epoch_scope":"CURRENT","evidence_id":"EVID-C93E5A448C9691384CABBC3C","interpretation":"Alert workload mix context.","metric":"alert_queries_30","observation_window":"last 30 days within current epoch","source":"system.query.history","source_field":"query_source.alert_id","threshold":null,"unit":"queries","value":0},"EVID-E086423EEDD4EA5B78E06BA8":{"comparator":"","epoch_scope":"CURRENT","evidence_id":"EVID-E086423EEDD4EA5B78E06BA8","interpretation":"Dashboard workload mix context.","metric":"dashboard_queries_30","observation_window":"last 30 days within current epoch","source":"system.query.history","source_field":"query_source.dashboard_id","threshold":null,"unit":"queries","value":9000},"EVID-EEAE9EE4EB0184B8E3194230":{"comparator":"","epoch_scope":"CURRENT","evidence_id":"EVID-EEAE9EE4EB0184B8E3194230","interpretation":"Query-tag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epoch","source":"system.query.history","source_field":"query_tags","threshold":null,"unit":"%","value":70.0},"EVID-F495F5CD809BE5CB38C224D3":{"comparator":"","epoch_scope":"CURRENT","evidence_id":"EVID-F495F5CD809BE5CB38C224D3","interpretation":"Potential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only)","threshold":null,"unit":"queries","value":0}}</x:v>
      </x:c>
      <x:c r="T11" s="24" t="str"/>
      <x:c r="U11" s="22" t="str">
        <x:v>[]</x:v>
      </x:c>
      <x:c r="V11" s="22" t="str">
        <x:v>[]</x:v>
      </x:c>
      <x:c r="W11" s="22" t="str">
        <x:v>["warehouse_size","max_clusters","min_clusters","auto_stop_minutes"]</x:v>
      </x:c>
      <x:c r="X11" s="22" t="str">
        <x:v>["A_B_COST_PERFORMANCE_VALIDATION_REQUIRED","SERVERLESS_WORKSPACE_CAPABILITY_NOT_CONFIRMED_FROM_SYSTEM_TABLES"]</x:v>
      </x:c>
      <x:c r="Y11" s="64" t="b">
        <x:v>1</x:v>
      </x:c>
      <x:c r="Z11" s="28" t="n">
        <x:v>27000</x:v>
      </x:c>
      <x:c r="AA11" s="28" t="n">
        <x:v>11725.1</x:v>
      </x:c>
      <x:c r="AB11" s="28" t="n">
        <x:v>38725.1</x:v>
      </x:c>
      <x:c r="AC11" s="28" t="n">
        <x:v>693.69</x:v>
      </x:c>
      <x:c r="AD11" s="28" t="n">
        <x:v>693.69</x:v>
      </x:c>
      <x:c r="AE11" s="28" t="n">
        <x:v>13846.85</x:v>
      </x:c>
      <x:c r="AF11" s="28" t="n">
        <x:v>11725.1</x:v>
      </x:c>
      <x:c r="AG11" s="28" t="n">
        <x:v>11725.1</x:v>
      </x:c>
      <x:c r="AH11" s="28" t="n">
        <x:v>11725.1</x:v>
      </x:c>
      <x:c r="AI11" s="28" t="n">
        <x:v>12418.79</x:v>
      </x:c>
      <x:c r="AJ11" s="28" t="n">
        <x:v>12418.79</x:v>
      </x:c>
      <x:c r="AK11" s="28" t="n">
        <x:v>25571.95</x:v>
      </x:c>
      <x:c r="AL11" s="28" t="n">
        <x:v>13153.15</x:v>
      </x:c>
      <x:c r="AM11" s="28" t="n">
        <x:v>26306.31</x:v>
      </x:c>
      <x:c r="AN11" s="28" t="n">
        <x:v>26306.31</x:v>
      </x:c>
      <x:c r="AO11" s="64" t="b">
        <x:v>0</x:v>
      </x:c>
      <x:c r="AP11" s="22" t="str">
        <x:v>[{"execution_state":"READY_FOR_CANARY","scenario_id":"SCN-1DFDCB17E0622D63C6758AB4","scenario_name":"Plan B — Serverless migration experiment","step":2}]</x:v>
      </x:c>
      <x:c r="AQ11" s="22" t="str">
        <x:v>NOT_APPLIED</x:v>
      </x:c>
      <x:c r="AR11" s="22"/>
      <x:c r="AS11" s="22"/>
      <x:c r="AT11" s="28"/>
      <x:c r="AU11" s="28"/>
      <x:c r="AV11" s="28"/>
      <x:c r="AW11" s="28"/>
      <x:c r="AX11" s="22"/>
      <x:c r="AY11" s="22" t="str">
        <x:v>[]</x:v>
      </x:c>
    </x:row>
  </x:sheetData>
  <x:mergeCells>
    <x:mergeCell ref="A1:AY1"/>
    <x:mergeCell ref="A2:AY2"/>
  </x:mergeCells>
  <x:conditionalFormatting sqref="J5:J11">
    <x:cfRule type="expression" dxfId="73" priority="1">
      <x:formula>J5="ACTIONABLE"</x:formula>
    </x:cfRule>
    <x:cfRule type="expression" dxfId="74" priority="2">
      <x:formula>J5="RECOMMENDED"</x:formula>
    </x:cfRule>
    <x:cfRule type="expression" dxfId="75" priority="3">
      <x:formula>J5="HIGH"</x:formula>
    </x:cfRule>
    <x:cfRule type="expression" dxfId="76" priority="4">
      <x:formula>J5="SUFFICIENT"</x:formula>
    </x:cfRule>
    <x:cfRule type="expression" dxfId="77" priority="5">
      <x:formula>J5="TEST_REQUIRED"</x:formula>
    </x:cfRule>
    <x:cfRule type="expression" dxfId="78" priority="6">
      <x:formula>J5="REVIEW"</x:formula>
    </x:cfRule>
    <x:cfRule type="expression" dxfId="79" priority="7">
      <x:formula>J5="MEDIUM"</x:formula>
    </x:cfRule>
    <x:cfRule type="expression" dxfId="80" priority="8">
      <x:formula>J5="PARTIAL"</x:formula>
    </x:cfRule>
    <x:cfRule type="expression" dxfId="81" priority="9">
      <x:formula>J5="BLOCKED"</x:formula>
    </x:cfRule>
    <x:cfRule type="expression" dxfId="82" priority="10">
      <x:formula>J5="LOW"</x:formula>
    </x:cfRule>
    <x:cfRule type="expression" dxfId="83" priority="11">
      <x:formula>J5="INSUFFICIENT_EVIDENCE"</x:formula>
    </x:cfRule>
    <x:cfRule type="expression" dxfId="84" priority="12">
      <x:formula>J5="NO_CHANGE"</x:formula>
    </x:cfRule>
    <x:cfRule type="expression" dxfId="85" priority="13">
      <x:formula>J5="NOT_APPLICABLE"</x:formula>
    </x:cfRule>
    <x:cfRule type="expression" dxfId="86" priority="14">
      <x:formula>J5="ALTERNATIVE"</x:formula>
    </x:cfRule>
  </x:conditionalFormatting>
  <x:conditionalFormatting sqref="P5:P11">
    <x:cfRule type="expression" dxfId="87" priority="15">
      <x:formula>P5="ACTIONABLE"</x:formula>
    </x:cfRule>
    <x:cfRule type="expression" dxfId="88" priority="16">
      <x:formula>P5="RECOMMENDED"</x:formula>
    </x:cfRule>
    <x:cfRule type="expression" dxfId="89" priority="17">
      <x:formula>P5="HIGH"</x:formula>
    </x:cfRule>
    <x:cfRule type="expression" dxfId="90" priority="18">
      <x:formula>P5="SUFFICIENT"</x:formula>
    </x:cfRule>
    <x:cfRule type="expression" dxfId="91" priority="19">
      <x:formula>P5="TEST_REQUIRED"</x:formula>
    </x:cfRule>
    <x:cfRule type="expression" dxfId="92" priority="20">
      <x:formula>P5="REVIEW"</x:formula>
    </x:cfRule>
    <x:cfRule type="expression" dxfId="93" priority="21">
      <x:formula>P5="MEDIUM"</x:formula>
    </x:cfRule>
    <x:cfRule type="expression" dxfId="94" priority="22">
      <x:formula>P5="PARTIAL"</x:formula>
    </x:cfRule>
    <x:cfRule type="expression" dxfId="95" priority="23">
      <x:formula>P5="BLOCKED"</x:formula>
    </x:cfRule>
    <x:cfRule type="expression" dxfId="96" priority="24">
      <x:formula>P5="LOW"</x:formula>
    </x:cfRule>
    <x:cfRule type="expression" dxfId="97" priority="25">
      <x:formula>P5="INSUFFICIENT_EVIDENCE"</x:formula>
    </x:cfRule>
    <x:cfRule type="expression" dxfId="98" priority="26">
      <x:formula>P5="NO_CHANGE"</x:formula>
    </x:cfRule>
    <x:cfRule type="expression" dxfId="99" priority="27">
      <x:formula>P5="NOT_APPLICABLE"</x:formula>
    </x:cfRule>
    <x:cfRule type="expression" dxfId="100" priority="28">
      <x:formula>P5="ALTERNATIVE"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7453b8eadb4e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38" hidden="0" customWidth="1"/>
    <x:col min="32" max="32" width="38" hidden="0" customWidth="1"/>
    <x:col min="33" max="33" width="38" hidden="0" customWidth="1"/>
    <x:col min="34" max="34" width="38" hidden="0" customWidth="1"/>
  </x:cols>
  <x:sheetData>
    <x:row r="1">
      <x:c r="A1" s="81" t="str">
        <x:v>Realization Summary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  <x:c r="AA1" s="81"/>
      <x:c r="AB1" s="81"/>
      <x:c r="AC1" s="81"/>
      <x:c r="AD1" s="81"/>
      <x:c r="AE1" s="81"/>
      <x:c r="AF1" s="81"/>
      <x:c r="AG1" s="81"/>
      <x:c r="AH1" s="81"/>
    </x:row>
    <x:row r="2">
      <x:c r="A2" s="84" t="str">
        <x:v>Canonical PKG + RPKG projection. Values are presentation-only; no economics are recomputed here.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84"/>
      <x:c r="W2" s="84"/>
      <x:c r="X2" s="84"/>
      <x:c r="Y2" s="84"/>
      <x:c r="Z2" s="84"/>
      <x:c r="AA2" s="84"/>
      <x:c r="AB2" s="84"/>
      <x:c r="AC2" s="84"/>
      <x:c r="AD2" s="84"/>
      <x:c r="AE2" s="84"/>
      <x:c r="AF2" s="84"/>
      <x:c r="AG2" s="84"/>
      <x:c r="AH2" s="84"/>
    </x:row>
    <x:row r="4">
      <x:c r="A4" s="86" t="str">
        <x:v>recommendation_package_id</x:v>
      </x:c>
      <x:c r="B4" s="86" t="str">
        <x:v>realization_package_id</x:v>
      </x:c>
      <x:c r="C4" s="86" t="str">
        <x:v>snapshot_id</x:v>
      </x:c>
      <x:c r="D4" s="86" t="str">
        <x:v>workspace_id</x:v>
      </x:c>
      <x:c r="E4" s="86" t="str">
        <x:v>warehouse_id</x:v>
      </x:c>
      <x:c r="F4" s="86" t="str">
        <x:v>warehouse_name</x:v>
      </x:c>
      <x:c r="G4" s="86" t="str">
        <x:v>source_package_disposition</x:v>
      </x:c>
      <x:c r="H4" s="86" t="str">
        <x:v>implementation_conformance</x:v>
      </x:c>
      <x:c r="I4" s="86" t="str">
        <x:v>application_scope</x:v>
      </x:c>
      <x:c r="J4" s="86" t="str">
        <x:v>intent_state</x:v>
      </x:c>
      <x:c r="K4" s="86" t="str">
        <x:v>recommended_value</x:v>
      </x:c>
      <x:c r="L4" s="86" t="str">
        <x:v>observed_applied_value</x:v>
      </x:c>
      <x:c r="M4" s="86" t="str">
        <x:v>application_state</x:v>
      </x:c>
      <x:c r="N4" s="86" t="str">
        <x:v>plan_progress</x:v>
      </x:c>
      <x:c r="O4" s="86" t="str">
        <x:v>validation_state</x:v>
      </x:c>
      <x:c r="P4" s="86" t="str">
        <x:v>realization_state</x:v>
      </x:c>
      <x:c r="Q4" s="86" t="str">
        <x:v>maturity_state</x:v>
      </x:c>
      <x:c r="R4" s="86" t="str">
        <x:v>origin_attribution</x:v>
      </x:c>
      <x:c r="S4" s="86" t="str">
        <x:v>attribution_claim_status</x:v>
      </x:c>
      <x:c r="T4" s="87" t="str">
        <x:v>observed_realized_savings</x:v>
      </x:c>
      <x:c r="U4" s="87" t="str">
        <x:v>recommendation_attributed_savings</x:v>
      </x:c>
      <x:c r="V4" s="87" t="str">
        <x:v>annualized_realized_savings</x:v>
      </x:c>
      <x:c r="W4" s="87" t="str">
        <x:v>mature_ttm_realized_savings</x:v>
      </x:c>
      <x:c r="X4" s="87" t="str">
        <x:v>expected_same_scope_annual_savings</x:v>
      </x:c>
      <x:c r="Y4" s="88" t="str">
        <x:v>realization_ratio</x:v>
      </x:c>
      <x:c r="Z4" s="86" t="str">
        <x:v>economic_basis</x:v>
      </x:c>
      <x:c r="AA4" s="86" t="str">
        <x:v>denominator_source</x:v>
      </x:c>
      <x:c r="AB4" s="86" t="str">
        <x:v>regeneration_status</x:v>
      </x:c>
      <x:c r="AC4" s="86" t="str">
        <x:v>replacement_package_id</x:v>
      </x:c>
      <x:c r="AD4" s="86" t="str">
        <x:v>as_of_utc</x:v>
      </x:c>
      <x:c r="AE4" s="86" t="str">
        <x:v>application_json</x:v>
      </x:c>
      <x:c r="AF4" s="86" t="str">
        <x:v>validation_json</x:v>
      </x:c>
      <x:c r="AG4" s="86" t="str">
        <x:v>economics_json</x:v>
      </x:c>
      <x:c r="AH4" s="86" t="str">
        <x:v>attribution_json</x:v>
      </x:c>
    </x:row>
    <x:row r="5">
      <x:c r="A5" t="str">
        <x:v>PKG-C1928BFAD6E14C166A0F518D</x:v>
      </x:c>
      <x:c r="B5" t="str">
        <x:v>RPKG-9BCA3C3DFB12CC37AA7CA775</x:v>
      </x:c>
      <x:c r="C5" t="str">
        <x:v>RSNAP-B4E0622B53B53930421A90E3</x:v>
      </x:c>
      <x:c r="D5" t="str">
        <x:v>1234567890123456</x:v>
      </x:c>
      <x:c r="E5" t="str">
        <x:v>wh-synth-001</x:v>
      </x:c>
      <x:c r="F5" t="str">
        <x:v>BI - Sales</x:v>
      </x:c>
      <x:c r="G5" t="str">
        <x:v>ACTIVE</x:v>
      </x:c>
      <x:c r="H5" t="str">
        <x:v>EXACT</x:v>
      </x:c>
      <x:c r="I5" t="str">
        <x:v>CANDIDATE</x:v>
      </x:c>
      <x:c r="J5" t="str">
        <x:v>ACCEPTED</x:v>
      </x:c>
      <x:c r="K5" t="str">
        <x:v>MEDIUM</x:v>
      </x:c>
      <x:c r="L5" t="str">
        <x:v>MEDIUM</x:v>
      </x:c>
      <x:c r="M5" t="str">
        <x:v>APPLIED</x:v>
      </x:c>
      <x:c r="N5" t="str">
        <x:v>PARTIALLY_COMPLETED</x:v>
      </x:c>
      <x:c r="O5" t="str">
        <x:v>PASSED</x:v>
      </x:c>
      <x:c r="P5" t="str">
        <x:v>REALIZED</x:v>
      </x:c>
      <x:c r="Q5" t="str">
        <x:v>REPRESENTATIVE</x:v>
      </x:c>
      <x:c r="R5" t="str">
        <x:v>CONFIRMED</x:v>
      </x:c>
      <x:c r="S5" t="str">
        <x:v>CLAIMABLE</x:v>
      </x:c>
      <x:c r="T5" s="38" t="n">
        <x:v>1000</x:v>
      </x:c>
      <x:c r="U5" s="38" t="n">
        <x:v>1000</x:v>
      </x:c>
      <x:c r="V5" s="38" t="n">
        <x:v>12166.67</x:v>
      </x:c>
      <x:c r="W5" s="38"/>
      <x:c r="X5" s="38" t="n">
        <x:v>12029.52</x:v>
      </x:c>
      <x:c r="Y5" s="40" t="n">
        <x:v>1.0114008428155625</x:v>
      </x:c>
      <x:c r="Z5" t="str">
        <x:v>ECONOMIC_COST</x:v>
      </x:c>
      <x:c r="AA5" t="str">
        <x:v>PUBLISHER_CANDIDATE</x:v>
      </x:c>
      <x:c r="AB5" t="str">
        <x:v>REQUESTED</x:v>
      </x:c>
      <x:c r="AC5"/>
      <x:c r="AD5" t="n">
        <x:v>46304.5</x:v>
      </x:c>
      <x:c r="AE5" s="42" t="str">
        <x:v>{"active_episode_id":"APP-2F8AD6BFA5DBAF88C3D14FE3","actor":"demo-user","application_scope":"CANDIDATE","applied_step_refs":[],"effective_from_utc":"2026-10-01T12:00:00Z","effective_time_quality":"OBSERVED_AT_ONLY","effective_to_utc":null,"implementation_conformance":"EXACT","intent_state":"ACCEPTED","knob":"warehouse_size","modification_relation":null,"observed_applied_value":"MEDIUM","observed_config":{"auto_stop_minutes":120,"enable_photon":true,"max_clusters":4,"min_clusters":2,"warehouse_channel":"CURRENT","warehouse_size":"MEDIUM","warehouse_type":"PRO"},"plan_progress":{"applied_steps":1,"authoritative_actionable_steps":1,"pending_reevaluation_steps":3,"state":"PARTIALLY_COMPLETED"},"recommended_value":"MEDIUM","scenario_id":"SCN-669E0ED750DDE520F0F03317","source_value":"LARGE","state":"APPLIED","step":1}</x:v>
      </x:c>
      <x:c r="AF5" s="42" t="str">
        <x:v>{"hard_guardrails_pass":true,"policy_snapshot_id":"PSNAP-FEF164129C29BEC36EE4002F","readiness":{"checks":{"evidence_quality":{"observed":"SUFFICIENT","pass":true,"required":"SUFFICIENT"},"minimum_days":{"observed":8,"pass":true,"threshold":7},"minimum_queries":{"observed":250,"pass":true,"threshold":100},"representative_regime":{"observed":true,"pass":true,"required":true}},"ready":true},"rules":[{"metric":"normalized_p95_runtime_regression_pct","observed":"2","operator":"LTE","policy_snapshot_id":"PSNAP-FEF164129C29BEC36EE4002F","result":"PASS","rule_id":"REAL-PERF-P95-001","threshold":"5"},{"metric":"reliability_pass","observed":true,"operator":"EQ","policy_snapshot_id":"PSNAP-FEF164129C29BEC36EE4002F","result":"PASS","rule_id":"REAL-REL-001","threshold":true},{"metric":"correctness_pass","observed":true,"operator":"NE","policy_snapshot_id":"PSNAP-FEF164129C29BEC36EE4002F","result":"PASS","rule_id":"REAL-CORRECT-001","threshold":false}],"state":"PASSED","validation_episode_id":"VAL-EF3484EFCAB95F77138A8FA6","window_end_utc":"2026-10-09T12:00:00Z","window_start_utc":"2026-10-02T12:00:00Z"}</x:v>
      </x:c>
      <x:c r="AG5" s="42" t="str">
        <x:v>{"annualized_realized_savings":"12166.67","available":true,"aws_cash_realized":null,"aws_commitment_freed":null,"aws_economic_realized":null,"aws_evidence_type":null,"classification_detail":"REALIZED","counterfactual_old_cost":"10000.00","currency":"USD","dbu_realized":null,"denominator_source":"PUBLISHER_CANDIDATE","economic_basis":"ECONOMIC_COST","expected_same_scope_annual_savings":"12029.52","mature_ttm_realized_savings":null,"observed_economic_delta":"1000.00","observed_new_cost":"9000.00","period_days":"30","quality_gates":{"attributable_spend":{"observed_pct":"100","pass":true,"required_min_pct":"95"},"correction_chain":{"complete":true,"pass":true},"currency_consistency":{"observed_pct":"100","pass":true,"required_pct":"100"},"material_cost_components":{"available":true,"pass":true},"pass":true,"price_coverage":{"observed_pct":"100","pass":true,"required_min_pct":"100"}},"realization_ratio":"1.01140084281556260488088192","realization_state":"REALIZED","realized_savings_period":"1000.00","realized_savings_since_application":"1000.00","reoptimization_recommended":false,"successful_realized_savings":"1000.00"}</x:v>
      </x:c>
      <x:c r="AH5" s="42" t="str">
        <x:v>{"attribution_claim_status":"CLAIMABLE","attribution_scope":"CANDIDATE","attribution_state":"HIGH_CONFIDENCE","economic_quality_gates":{"attributable_spend":{"observed_pct":"100","pass":true,"required_min_pct":"95"},"correction_chain":{"complete":true,"pass":true},"currency_consistency":{"observed_pct":"100","pass":true,"required_pct":"100"},"material_cost_components":{"available":true,"pass":true},"pass":true,"price_coverage":{"observed_pct":"100","pass":true,"required_min_pct":"100"}},"hard_disqualifiers":[],"origin_attribution":"CONFIRMED","overlap_count":0,"recommendation_attributed_realized_savings":"1000.00","validated_observed_realization":"1000.00"}</x:v>
      </x:c>
    </x:row>
  </x:sheetData>
  <x:mergeCells>
    <x:mergeCell ref="A1:AH1"/>
    <x:mergeCell ref="A2:AH2"/>
  </x:mergeCells>
  <x:pageMargins left="0.7" right="0.7" top="0.75" bottom="0.75" header="0.3" footer="0.3"/>
  <x:tableParts count="1">
    <x:tablePart xmlns:r="http://schemas.openxmlformats.org/officeDocument/2006/relationships" r:id="R75cdae55366548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38" hidden="0" customWidth="1"/>
  </x:cols>
  <x:sheetData>
    <x:row r="1">
      <x:c r="A1" s="81" t="str">
        <x:v>Realization Timeline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>
      <x:c r="A2" s="84" t="str">
        <x:v>Append-only Realization Ledger timeline ordered by recorded time and deterministic RLE identity.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4">
      <x:c r="A4" s="86" t="str">
        <x:v>ledger_entry_id</x:v>
      </x:c>
      <x:c r="B4" s="86" t="str">
        <x:v>realization_package_id</x:v>
      </x:c>
      <x:c r="C4" s="86" t="str">
        <x:v>recommendation_package_id</x:v>
      </x:c>
      <x:c r="D4" s="86" t="str">
        <x:v>event_type</x:v>
      </x:c>
      <x:c r="E4" s="86" t="str">
        <x:v>effective_at_utc</x:v>
      </x:c>
      <x:c r="F4" s="86" t="str">
        <x:v>recorded_at_utc</x:v>
      </x:c>
      <x:c r="G4" s="86" t="str">
        <x:v>workspace_id</x:v>
      </x:c>
      <x:c r="H4" s="86" t="str">
        <x:v>warehouse_id</x:v>
      </x:c>
      <x:c r="I4" s="86" t="str">
        <x:v>application_episode_id</x:v>
      </x:c>
      <x:c r="J4" s="86" t="str">
        <x:v>validation_episode_id</x:v>
      </x:c>
      <x:c r="K4" s="86" t="str">
        <x:v>measurement_id</x:v>
      </x:c>
      <x:c r="L4" s="86" t="str">
        <x:v>corrects_entry_id</x:v>
      </x:c>
      <x:c r="M4" s="86" t="str">
        <x:v>evidence_refs</x:v>
      </x:c>
      <x:c r="N4" s="86" t="str">
        <x:v>payload_json</x:v>
      </x:c>
    </x:row>
    <x:row r="5">
      <x:c r="A5" t="str">
        <x:v>RLE-6B7C42D2B96436035A636C5A</x:v>
      </x:c>
      <x:c r="B5" t="str">
        <x:v>RPKG-9BCA3C3DFB12CC37AA7CA775</x:v>
      </x:c>
      <x:c r="C5" t="str">
        <x:v>PKG-C1928BFAD6E14C166A0F518D</x:v>
      </x:c>
      <x:c r="D5" t="str">
        <x:v>REALIZATION_CREATED</x:v>
      </x:c>
      <x:c r="E5" t="n">
        <x:v>46296.5</x:v>
      </x:c>
      <x:c r="F5" t="n">
        <x:v>46296.5</x:v>
      </x:c>
      <x:c r="G5" t="str">
        <x:v>1234567890123456</x:v>
      </x:c>
      <x:c r="H5" t="str">
        <x:v>wh-synth-001</x:v>
      </x:c>
      <x:c r="I5"/>
      <x:c r="J5"/>
      <x:c r="K5"/>
      <x:c r="L5"/>
      <x:c r="M5" s="42" t="str">
        <x:v>[]</x:v>
      </x:c>
      <x:c r="N5" s="42" t="str">
        <x:v>{"recommendation_package_id":"PKG-C1928BFAD6E14C166A0F518D"}</x:v>
      </x:c>
    </x:row>
    <x:row r="6">
      <x:c r="A6" t="str">
        <x:v>RLE-3927904CECBDA7AA76890705</x:v>
      </x:c>
      <x:c r="B6" t="str">
        <x:v>RPKG-9BCA3C3DFB12CC37AA7CA775</x:v>
      </x:c>
      <x:c r="C6" t="str">
        <x:v>PKG-C1928BFAD6E14C166A0F518D</x:v>
      </x:c>
      <x:c r="D6" t="str">
        <x:v>APPLICATION_OBSERVED</x:v>
      </x:c>
      <x:c r="E6" t="n">
        <x:v>46296.5</x:v>
      </x:c>
      <x:c r="F6" t="n">
        <x:v>46304.5</x:v>
      </x:c>
      <x:c r="G6" t="str">
        <x:v>1234567890123456</x:v>
      </x:c>
      <x:c r="H6" t="str">
        <x:v>wh-synth-001</x:v>
      </x:c>
      <x:c r="I6" t="str">
        <x:v>APP-2F8AD6BFA5DBAF88C3D14FE3</x:v>
      </x:c>
      <x:c r="J6"/>
      <x:c r="K6"/>
      <x:c r="L6"/>
      <x:c r="M6" s="42" t="str">
        <x:v>["REVID-C82136407213010727CEAB98"]</x:v>
      </x:c>
      <x:c r="N6" s="42" t="str">
        <x:v>{"actor":"demo-user","application_episode_id":"APP-2F8AD6BFA5DBAF88C3D14FE3","authority_eligible":true,"candidate_id":"CAND-7D8091C10AAFE918B0A7C127","dependencies":[{"condition":null,"dependency_type":"KNOB","ref_id":"warehouse_channel"},{"condition":null,"dependency_type":"KNOB","ref_id":"enable_photon"}],"effective_from_utc":"2026-10-01T12:00:00Z","effective_time_quality":"OBSERVED_AT_ONLY","execution_state":"READY_FOR_CANARY","implementation_conformance":"EXACT","intent_state":"ACCEPTED","invalidates":["max_clusters","min_clusters","auto_stop_minutes"],"knob":"warehouse_size","modification_relation":null,"observed_config":{"auto_stop_minutes":120,"enable_photon":true,"max_clusters":4,"min_clusters":2,"warehouse_channel":"CURRENT","warehouse_size":"MEDIUM","warehouse_type":"PRO"},"observed_config_hash":"SHA256:6BA7939C80FAF293F5E268EFEDB2BEC482329BDB3FEAB8CEA63EE38A37608813","observed_value":"MEDIUM","origin_attribution":"CONFIRMED","recommended_value":"MEDIUM","remeasure_days":null,"scenario_id":"SCN-669E0ED750DDE520F0F03317","source_config_hash":"SHA256:26020F757A764847B54419DA7C9C26D96B80D64A6D04B38C96E0C7CE75AAE719","source_value":"LARGE","step":1,"technique_id":"WH-SIZE-DOWNSIZE-001"}</x:v>
      </x:c>
    </x:row>
    <x:row r="7">
      <x:c r="A7" t="str">
        <x:v>RLE-457CB8EB0581B0780CD5FCA3</x:v>
      </x:c>
      <x:c r="B7" t="str">
        <x:v>RPKG-9BCA3C3DFB12CC37AA7CA775</x:v>
      </x:c>
      <x:c r="C7" t="str">
        <x:v>PKG-C1928BFAD6E14C166A0F518D</x:v>
      </x:c>
      <x:c r="D7" t="str">
        <x:v>VALIDATION_READY</x:v>
      </x:c>
      <x:c r="E7" t="n">
        <x:v>46304.5</x:v>
      </x:c>
      <x:c r="F7" t="n">
        <x:v>46304.5</x:v>
      </x:c>
      <x:c r="G7" t="str">
        <x:v>1234567890123456</x:v>
      </x:c>
      <x:c r="H7" t="str">
        <x:v>wh-synth-001</x:v>
      </x:c>
      <x:c r="I7" t="str">
        <x:v>APP-2F8AD6BFA5DBAF88C3D14FE3</x:v>
      </x:c>
      <x:c r="J7" t="str">
        <x:v>VAL-EF3484EFCAB95F77138A8FA6</x:v>
      </x:c>
      <x:c r="K7"/>
      <x:c r="L7"/>
      <x:c r="M7" s="42" t="str">
        <x:v>["REVID-C82136407213010727CEAB98"]</x:v>
      </x:c>
      <x:c r="N7" s="42" t="str">
        <x:v>{"policy_snapshot_id":"PSNAP-FEF164129C29BEC36EE4002F","readiness":{"checks":{"evidence_quality":{"observed":"SUFFICIENT","pass":true,"required":"SUFFICIENT"},"minimum_days":{"observed":8,"pass":true,"threshold":7},"minimum_queries":{"observed":250,"pass":true,"threshold":100},"representative_regime":{"observed":true,"pass":true,"required":true}},"ready":true},"validation_episode_id":"VAL-EF3484EFCAB95F77138A8FA6"}</x:v>
      </x:c>
    </x:row>
    <x:row r="8">
      <x:c r="A8" t="str">
        <x:v>RLE-7FA52651D805C9BF40C72E5F</x:v>
      </x:c>
      <x:c r="B8" t="str">
        <x:v>RPKG-9BCA3C3DFB12CC37AA7CA775</x:v>
      </x:c>
      <x:c r="C8" t="str">
        <x:v>PKG-C1928BFAD6E14C166A0F518D</x:v>
      </x:c>
      <x:c r="D8" t="str">
        <x:v>REGENERATION_REQUESTED</x:v>
      </x:c>
      <x:c r="E8" t="n">
        <x:v>46296.5</x:v>
      </x:c>
      <x:c r="F8" t="n">
        <x:v>46304.5</x:v>
      </x:c>
      <x:c r="G8" t="str">
        <x:v>1234567890123456</x:v>
      </x:c>
      <x:c r="H8" t="str">
        <x:v>wh-synth-001</x:v>
      </x:c>
      <x:c r="I8" t="str">
        <x:v>APP-2F8AD6BFA5DBAF88C3D14FE3</x:v>
      </x:c>
      <x:c r="J8"/>
      <x:c r="K8"/>
      <x:c r="L8"/>
      <x:c r="M8" s="42" t="str">
        <x:v>[]</x:v>
      </x:c>
      <x:c r="N8" s="42" t="str">
        <x:v>{"actual_config":{"auto_stop_minutes":120,"enable_photon":true,"max_clusters":4,"min_clusters":2,"warehouse_channel":"CURRENT","warehouse_size":"MEDIUM","warehouse_type":"PRO"},"actual_config_hash":"SHA256:6BA7939C80FAF293F5E268EFEDB2BEC482329BDB3FEAB8CEA63EE38A37608813","impacted_knobs":["max_clusters","min_clusters","auto_stop_minutes"],"policy_snapshot_id":"PSNAP-FEF164129C29BEC36EE4002F","reasons":["UPSTREAM_CHANGE_INVALIDATES_DOWNSTREAM"],"regeneration_request_id":"RERUN-5EAFEBC878ED2364E53E171A","scenario_id":"SCN-669E0ED750DDE520F0F03317","source_realization_package_id":"RPKG-9BCA3C3DFB12CC37AA7CA775","source_recommendation_package_id":"PKG-C1928BFAD6E14C166A0F518D","status":"REQUESTED","step":1}</x:v>
      </x:c>
    </x:row>
    <x:row r="9">
      <x:c r="A9" t="str">
        <x:v>RLE-84A5977657D31E8D76465DF8</x:v>
      </x:c>
      <x:c r="B9" t="str">
        <x:v>RPKG-9BCA3C3DFB12CC37AA7CA775</x:v>
      </x:c>
      <x:c r="C9" t="str">
        <x:v>PKG-C1928BFAD6E14C166A0F518D</x:v>
      </x:c>
      <x:c r="D9" t="str">
        <x:v>INTENT_RECORDED</x:v>
      </x:c>
      <x:c r="E9" t="n">
        <x:v>46296.5</x:v>
      </x:c>
      <x:c r="F9" t="n">
        <x:v>46304.5</x:v>
      </x:c>
      <x:c r="G9" t="str">
        <x:v>1234567890123456</x:v>
      </x:c>
      <x:c r="H9" t="str">
        <x:v>wh-synth-001</x:v>
      </x:c>
      <x:c r="I9" t="str">
        <x:v>APP-2F8AD6BFA5DBAF88C3D14FE3</x:v>
      </x:c>
      <x:c r="J9"/>
      <x:c r="K9"/>
      <x:c r="L9"/>
      <x:c r="M9" s="42" t="str">
        <x:v>[]</x:v>
      </x:c>
      <x:c r="N9" s="42" t="str">
        <x:v>{"actor":"demo-user","intent_state":"ACCEPTED","reference":null}</x:v>
      </x:c>
    </x:row>
    <x:row r="10">
      <x:c r="A10" t="str">
        <x:v>RLE-C29AB5DA194789CA5305CE1F</x:v>
      </x:c>
      <x:c r="B10" t="str">
        <x:v>RPKG-9BCA3C3DFB12CC37AA7CA775</x:v>
      </x:c>
      <x:c r="C10" t="str">
        <x:v>PKG-C1928BFAD6E14C166A0F518D</x:v>
      </x:c>
      <x:c r="D10" t="str">
        <x:v>VALIDATION_STARTED</x:v>
      </x:c>
      <x:c r="E10" t="n">
        <x:v>46304.5</x:v>
      </x:c>
      <x:c r="F10" t="n">
        <x:v>46304.5</x:v>
      </x:c>
      <x:c r="G10" t="str">
        <x:v>1234567890123456</x:v>
      </x:c>
      <x:c r="H10" t="str">
        <x:v>wh-synth-001</x:v>
      </x:c>
      <x:c r="I10" t="str">
        <x:v>APP-2F8AD6BFA5DBAF88C3D14FE3</x:v>
      </x:c>
      <x:c r="J10" t="str">
        <x:v>VAL-EF3484EFCAB95F77138A8FA6</x:v>
      </x:c>
      <x:c r="K10"/>
      <x:c r="L10"/>
      <x:c r="M10" s="42" t="str">
        <x:v>["REVID-C82136407213010727CEAB98"]</x:v>
      </x:c>
      <x:c r="N10" s="42" t="str">
        <x:v>{"validation_episode_id":"VAL-EF3484EFCAB95F77138A8FA6","window_end_utc":"2026-10-09T12:00:00Z","window_start_utc":"2026-10-02T12:00:00Z"}</x:v>
      </x:c>
    </x:row>
    <x:row r="11">
      <x:c r="A11" t="str">
        <x:v>RLE-D8566070F57E270A05235F1A</x:v>
      </x:c>
      <x:c r="B11" t="str">
        <x:v>RPKG-9BCA3C3DFB12CC37AA7CA775</x:v>
      </x:c>
      <x:c r="C11" t="str">
        <x:v>PKG-C1928BFAD6E14C166A0F518D</x:v>
      </x:c>
      <x:c r="D11" t="str">
        <x:v>VALIDATION_COMPLETED</x:v>
      </x:c>
      <x:c r="E11" t="n">
        <x:v>46304.5</x:v>
      </x:c>
      <x:c r="F11" t="n">
        <x:v>46304.5</x:v>
      </x:c>
      <x:c r="G11" t="str">
        <x:v>1234567890123456</x:v>
      </x:c>
      <x:c r="H11" t="str">
        <x:v>wh-synth-001</x:v>
      </x:c>
      <x:c r="I11" t="str">
        <x:v>APP-2F8AD6BFA5DBAF88C3D14FE3</x:v>
      </x:c>
      <x:c r="J11" t="str">
        <x:v>VAL-EF3484EFCAB95F77138A8FA6</x:v>
      </x:c>
      <x:c r="K11"/>
      <x:c r="L11"/>
      <x:c r="M11" s="42" t="str">
        <x:v>["REVID-C82136407213010727CEAB98"]</x:v>
      </x:c>
      <x:c r="N11" s="42" t="str">
        <x:v>{"hard_guardrails_pass":true,"policy_snapshot_id":"PSNAP-FEF164129C29BEC36EE4002F","readiness":{"checks":{"evidence_quality":{"observed":"SUFFICIENT","pass":true,"required":"SUFFICIENT"},"minimum_days":{"observed":8,"pass":true,"threshold":7},"minimum_queries":{"observed":250,"pass":true,"threshold":100},"representative_regime":{"observed":true,"pass":true,"required":true}},"ready":true},"rules":[{"metric":"normalized_p95_runtime_regression_pct","observed":"2","operator":"LTE","policy_snapshot_id":"PSNAP-FEF164129C29BEC36EE4002F","result":"PASS","rule_id":"REAL-PERF-P95-001","threshold":"5"},{"metric":"reliability_pass","observed":true,"operator":"EQ","policy_snapshot_id":"PSNAP-FEF164129C29BEC36EE4002F","result":"PASS","rule_id":"REAL-REL-001","threshold":true},{"metric":"correctness_pass","observed":true,"operator":"NE","policy_snapshot_id":"PSNAP-FEF164129C29BEC36EE4002F","result":"PASS","rule_id":"REAL-CORRECT-001","threshold":false}],"state":"PASSED","validation_episode_id":"VAL-EF3484EFCAB95F77138A8FA6","window_end_utc":"2026-10-09T12:00:00Z","window_start_utc":"2026-10-02T12:00:00Z"}</x:v>
      </x:c>
    </x:row>
    <x:row r="12">
      <x:c r="A12" t="str">
        <x:v>RLE-EF3E3E73D1A3B7DBB7D26C10</x:v>
      </x:c>
      <x:c r="B12" t="str">
        <x:v>RPKG-9BCA3C3DFB12CC37AA7CA775</x:v>
      </x:c>
      <x:c r="C12" t="str">
        <x:v>PKG-C1928BFAD6E14C166A0F518D</x:v>
      </x:c>
      <x:c r="D12" t="str">
        <x:v>ECONOMIC_MEASUREMENT_RECORDED</x:v>
      </x:c>
      <x:c r="E12" t="n">
        <x:v>46304.5</x:v>
      </x:c>
      <x:c r="F12" t="n">
        <x:v>46304.5</x:v>
      </x:c>
      <x:c r="G12" t="str">
        <x:v>1234567890123456</x:v>
      </x:c>
      <x:c r="H12" t="str">
        <x:v>wh-synth-001</x:v>
      </x:c>
      <x:c r="I12" t="str">
        <x:v>APP-2F8AD6BFA5DBAF88C3D14FE3</x:v>
      </x:c>
      <x:c r="J12" t="str">
        <x:v>VAL-EF3484EFCAB95F77138A8FA6</x:v>
      </x:c>
      <x:c r="K12" t="str">
        <x:v>MEAS-FCEB45C22363D39C463C78F5</x:v>
      </x:c>
      <x:c r="L12"/>
      <x:c r="M12" s="42" t="str">
        <x:v>["REVID-C82136407213010727CEAB98"]</x:v>
      </x:c>
      <x:c r="N12" s="42" t="str">
        <x:v>{"attribution":{"attribution_claim_status":"CLAIMABLE","attribution_scope":"CANDIDATE","attribution_state":"HIGH_CONFIDENCE","economic_quality_gates":{"attributable_spend":{"observed_pct":"100","pass":true,"required_min_pct":"95"},"correction_chain":{"complete":true,"pass":true},"currency_consistency":{"observed_pct":"100","pass":true,"required_pct":"100"},"material_cost_components":{"available":true,"pass":true},"pass":true,"price_coverage":{"observed_pct":"100","pass":true,"required_min_pct":"100"}},"hard_disqualifiers":[],"origin_attribution":"CONFIRMED","overlap_count":0,"recommendation_attributed_realized_savings":"1000.00","validated_observed_realization":"1000.00"},"correction_status":"ORIGINAL","counterfactual_id":"CF-0C3017A9DB0418C4500E9B5B","counterfactual_method":"MATCHED_HISTORICAL","economics":{"annualized_realized_savings":"12166.67","available":true,"aws_cash_realized":null,"aws_commitment_freed":null,"aws_economic_realized":null,"aws_evidence_type":null,"classification_detail":"REALIZED","counterfactual_old_cost":"10000.00","currency":"USD","dbu_realized":null,"denominator_source":"PUBLISHER_CANDIDATE","economic_basis":"ECONOMIC_COST","expected_same_scope_annual_savings":"12029.52","mature_ttm_realized_savings":null,"observed_economic_delta":"1000.00","observed_new_cost":"9000.00","period_days":"30","quality_gates":{"attributable_spend":{"observed_pct":"100","pass":true,"required_min_pct":"95"},"correction_chain":{"complete":true,"pass":true},"currency_consistency":{"observed_pct":"100","pass":true,"required_pct":"100"},"material_cost_components":{"available":true,"pass":true},"pass":true,"price_coverage":{"observed_pct":"100","pass":true,"required_min_pct":"100"}},"realization_ratio":"1.01140084281556260488088192","realization_state":"REALIZED","realized_savings_period":"1000.00","realized_savings_since_application":"1000.00","reoptimization_recommended":false,"successful_realized_savings":"1000.00"},"mature_ttm_realized_savings":null,"measurement_id":"MEAS-FCEB45C22363D39C463C78F5","realization_state":"REALIZED","recognition_status":"CONFIRMED","window_end_utc":"2026-10-09T12:00:00Z","window_start_utc":"2026-10-02T12:00:00Z"}</x:v>
      </x:c>
    </x:row>
    <x:row r="13">
      <x:c r="A13" t="str">
        <x:v>RLE-F8AD4D071038EDDC2302FF09</x:v>
      </x:c>
      <x:c r="B13" t="str">
        <x:v>RPKG-9BCA3C3DFB12CC37AA7CA775</x:v>
      </x:c>
      <x:c r="C13" t="str">
        <x:v>PKG-C1928BFAD6E14C166A0F518D</x:v>
      </x:c>
      <x:c r="D13" t="str">
        <x:v>COUNTERFACTUAL_RECORDED</x:v>
      </x:c>
      <x:c r="E13" t="n">
        <x:v>46304.5</x:v>
      </x:c>
      <x:c r="F13" t="n">
        <x:v>46304.5</x:v>
      </x:c>
      <x:c r="G13" t="str">
        <x:v>1234567890123456</x:v>
      </x:c>
      <x:c r="H13" t="str">
        <x:v>wh-synth-001</x:v>
      </x:c>
      <x:c r="I13" t="str">
        <x:v>APP-2F8AD6BFA5DBAF88C3D14FE3</x:v>
      </x:c>
      <x:c r="J13" t="str">
        <x:v>VAL-EF3484EFCAB95F77138A8FA6</x:v>
      </x:c>
      <x:c r="K13"/>
      <x:c r="L13"/>
      <x:c r="M13" s="42" t="str">
        <x:v>["REVID-C82136407213010727CEAB98"]</x:v>
      </x:c>
      <x:c r="N13" s="42" t="str">
        <x:v>{"claim_eligible":true,"counterfactual_id":"CF-0C3017A9DB0418C4500E9B5B","counterfactual_old_cost":"10000.00","method":"MATCHED_HISTORICAL","modeler_version":"m08-realization-adapter-v1.0.0","workload_basis":"ACTUAL_POST_CHANGE_WORKLOAD"}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b85835173db4822"/>
  </x:tableParts>
</x:worksheet>
</file>